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Yearly" sheetId="1" r:id="rId5"/>
    <sheet name="Budgeting" sheetId="2" r:id="rId6"/>
    <sheet name="Budget USA" sheetId="3" r:id="rId7"/>
    <sheet name="January" sheetId="4" r:id="rId8"/>
    <sheet name="February" sheetId="5" r:id="rId9"/>
    <sheet name="March" sheetId="6" r:id="rId10"/>
    <sheet name="April" sheetId="7" r:id="rId11"/>
    <sheet name="May" sheetId="8" r:id="rId12"/>
    <sheet name="June" sheetId="9" r:id="rId13"/>
    <sheet name="July" sheetId="10" r:id="rId14"/>
    <sheet name="August" sheetId="11" r:id="rId15"/>
    <sheet name="September" sheetId="12" r:id="rId1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<sst xmlns="http://schemas.openxmlformats.org/spreadsheetml/2006/main" uniqueCount="378">
  <si>
    <t>2026</t>
  </si>
  <si>
    <t>Forecasted</t>
  </si>
  <si>
    <t>Actual</t>
  </si>
  <si>
    <t>Delta forecast</t>
  </si>
  <si>
    <t>Delta month</t>
  </si>
  <si>
    <t>Bank</t>
  </si>
  <si>
    <t>Expenses</t>
  </si>
  <si>
    <t>Income</t>
  </si>
  <si>
    <t>Net</t>
  </si>
  <si>
    <t>Intesa</t>
  </si>
  <si>
    <t>Revolut</t>
  </si>
  <si>
    <t>To receive</t>
  </si>
  <si>
    <t>TOT</t>
  </si>
  <si>
    <t>Rimborso Michael + rimborso caparra casa+ ceci sf + cena carbonara</t>
  </si>
  <si>
    <t>Restaurant</t>
  </si>
  <si>
    <t>Sport &amp; Activities</t>
  </si>
  <si>
    <t>Food</t>
  </si>
  <si>
    <t>Home</t>
  </si>
  <si>
    <t>Medical</t>
  </si>
  <si>
    <t>Personal Items</t>
  </si>
  <si>
    <t>Travel &amp; auto</t>
  </si>
  <si>
    <t>Utilities</t>
  </si>
  <si>
    <t>Other</t>
  </si>
  <si>
    <t>Investment</t>
  </si>
  <si>
    <t>Total</t>
  </si>
  <si>
    <t>Subscriptions</t>
  </si>
  <si>
    <t>Apple Creator Studio</t>
  </si>
  <si>
    <t>Spotify</t>
  </si>
  <si>
    <t>2026-1</t>
  </si>
  <si>
    <t>Valore conversione</t>
  </si>
  <si>
    <t>Euro</t>
  </si>
  <si>
    <t>Dollari</t>
  </si>
  <si>
    <t>Media pesata</t>
  </si>
  <si>
    <t>CONVERSIONE VALUTA</t>
  </si>
  <si>
    <t>USD to EUR</t>
  </si>
  <si>
    <t>Mar</t>
  </si>
  <si>
    <t>Apr</t>
  </si>
  <si>
    <t>May</t>
  </si>
  <si>
    <t>Jun</t>
  </si>
  <si>
    <t>Jul</t>
  </si>
  <si>
    <t>Aug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</si>
  <si>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</si>
  <si>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</si>
  <si>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</si>
  <si>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</si>
  <si>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</si>
  <si>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</si>
  <si>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</si>
  <si>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</si>
  <si>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</si>
  <si>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</si>
  <si>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</si>
  <si>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</si>
  <si>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</si>
  <si>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</si>
  <si>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</si>
  <si>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</si>
  <si>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</si>
  <si>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</si>
  <si>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</si>
  <si>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</si>
  <si>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</si>
  <si>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</si>
  <si>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</si>
  <si>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</si>
  <si>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</si>
  <si>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</si>
  <si>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TOTAL</t>
  </si>
  <si>
    <t>TOT EUR</t>
  </si>
  <si>
    <t>Sport</t>
  </si>
  <si>
    <t>Grocery</t>
  </si>
  <si>
    <t>Transport</t>
  </si>
  <si>
    <t>Phone</t>
  </si>
  <si>
    <t>Extra expences</t>
  </si>
  <si>
    <t>TOT MOTH</t>
  </si>
  <si>
    <t>Tot eur</t>
  </si>
  <si>
    <t>Cahsflow</t>
  </si>
  <si>
    <t>Residuo USD</t>
  </si>
  <si>
    <t>Affitto</t>
  </si>
  <si>
    <t>Date</t>
  </si>
  <si>
    <t>Description</t>
  </si>
  <si>
    <t>Category</t>
  </si>
  <si>
    <t>Amount</t>
  </si>
  <si>
    <t>1/29/26</t>
  </si>
  <si>
    <t>Occhiali</t>
  </si>
  <si>
    <t>Apple creator studio</t>
  </si>
  <si>
    <t>Utilities &amp; subscriptions</t>
  </si>
  <si>
    <t>1/26/26</t>
  </si>
  <si>
    <t>Analisi del sangue</t>
  </si>
  <si>
    <t>1/22/26</t>
  </si>
  <si>
    <t>Spoty</t>
  </si>
  <si>
    <t>1/20/26</t>
  </si>
  <si>
    <t>Stay</t>
  </si>
  <si>
    <t>Parcheggio</t>
  </si>
  <si>
    <t>1/13/26</t>
  </si>
  <si>
    <t>1/9/26</t>
  </si>
  <si>
    <t>Intimissimi</t>
  </si>
  <si>
    <t>1/7/26</t>
  </si>
  <si>
    <t>Autostrada</t>
  </si>
  <si>
    <t>Discovery plus</t>
  </si>
  <si>
    <t>Entertainment</t>
  </si>
  <si>
    <t>1/2/26</t>
  </si>
  <si>
    <t>Other/donations</t>
  </si>
  <si>
    <t>1/1/26</t>
  </si>
  <si>
    <t>Stipendio</t>
  </si>
  <si>
    <t>Salary</t>
  </si>
  <si>
    <t xml:space="preserve"> </t>
  </si>
  <si>
    <t>Expenses Summary by Category</t>
  </si>
  <si>
    <t>Budget</t>
  </si>
  <si>
    <t>Difference</t>
  </si>
  <si>
    <t>Income Summary</t>
  </si>
  <si>
    <t>Plaza Cafe (caraglio) satispay</t>
  </si>
  <si>
    <t>Regalo laurea gli (satispay)</t>
  </si>
  <si>
    <t>Prato nevoso (satispay)</t>
  </si>
  <si>
    <t>Sport &amp; activities</t>
  </si>
  <si>
    <t>stipendio</t>
  </si>
  <si>
    <t>Unieuro (sensore movimento)</t>
  </si>
  <si>
    <t>Amazon (sono relè)</t>
  </si>
  <si>
    <t>Paecheggio</t>
  </si>
  <si>
    <t>Pie</t>
  </si>
  <si>
    <t>prestofresco</t>
  </si>
  <si>
    <t>Icloud</t>
  </si>
  <si>
    <t>Acqua bicorni</t>
  </si>
  <si>
    <t>Skipass G (regalo jack)</t>
  </si>
  <si>
    <t>Autostrada torino</t>
  </si>
  <si>
    <t>Plus (laurea glo pag cont rimborsar sati)</t>
  </si>
  <si>
    <t>Rimborso Livio gita movi</t>
  </si>
  <si>
    <t xml:space="preserve">Autostrada papà </t>
  </si>
  <si>
    <t>Acqua nonna ospedale</t>
  </si>
  <si>
    <t>Amazon (creaplus e quaderno buste)</t>
  </si>
  <si>
    <t>Insurance</t>
  </si>
  <si>
    <t>Regalo laurea jack</t>
  </si>
  <si>
    <t>Revolv collaborazione occasionale</t>
  </si>
  <si>
    <t>Cena jolly piovani</t>
  </si>
  <si>
    <t>Perplexity</t>
  </si>
  <si>
    <t>RESTO TORTA GIO</t>
  </si>
  <si>
    <t>Presto fresco</t>
  </si>
  <si>
    <t>Tassa SEVIS</t>
  </si>
  <si>
    <t>Tassa visto</t>
  </si>
  <si>
    <t>Colazione serenus</t>
  </si>
  <si>
    <t>Iqos</t>
  </si>
  <si>
    <t xml:space="preserve">Apple cloud </t>
  </si>
  <si>
    <t>Consegna visto</t>
  </si>
  <si>
    <t>Lenti a contatto</t>
  </si>
  <si>
    <t>Cover iPhone</t>
  </si>
  <si>
    <t>17/03/26</t>
  </si>
  <si>
    <t>Birreria Moulin</t>
  </si>
  <si>
    <t>Satisfy</t>
  </si>
  <si>
    <t>20/03/26</t>
  </si>
  <si>
    <t>Cless Ticket Atm Milan Milano</t>
  </si>
  <si>
    <t>Mango Milan Corso 2 St Milano</t>
  </si>
  <si>
    <t>Buffet Torino Porta Susa</t>
  </si>
  <si>
    <t>Eatme Milano Srl Galleria P</t>
  </si>
  <si>
    <t>22/03/26</t>
  </si>
  <si>
    <t>Biglietti baseball</t>
  </si>
  <si>
    <t>24/03/26</t>
  </si>
  <si>
    <t>Cless Ticket Atm Milano Milano</t>
  </si>
  <si>
    <t>27/03/26</t>
  </si>
  <si>
    <t>Parcheggio torino</t>
  </si>
  <si>
    <t>28/03/26</t>
  </si>
  <si>
    <t>Cn Parcheggio Movicentro Cuneo</t>
  </si>
  <si>
    <t>Mercato' Extra Cuneo V Vi</t>
  </si>
  <si>
    <t>Mani Corso Giolitti 19 Cun</t>
  </si>
  <si>
    <t>29/03/26</t>
  </si>
  <si>
    <t>Amazon Creme</t>
  </si>
  <si>
    <t>30/03/26</t>
  </si>
  <si>
    <t>Amazon crema mamma</t>
  </si>
  <si>
    <t>Bonifico Disposto Da AIMAR MARCO</t>
  </si>
  <si>
    <t>31/03/26</t>
  </si>
  <si>
    <t>Imposta Di Bollo E/c E Rendiconto</t>
  </si>
  <si>
    <t>Autogrill colazione aeroporto</t>
  </si>
  <si>
    <t xml:space="preserve">Paypal </t>
  </si>
  <si>
    <t>31/03/27</t>
  </si>
  <si>
    <t>Ristorante papà</t>
  </si>
  <si>
    <t>Conversione</t>
  </si>
  <si>
    <t>Dollars</t>
  </si>
  <si>
    <t>Conto</t>
  </si>
  <si>
    <t>Caffe</t>
  </si>
  <si>
    <t>R</t>
  </si>
  <si>
    <t>Pranzo santa monica</t>
  </si>
  <si>
    <t>Starbucks</t>
  </si>
  <si>
    <t>Telefono</t>
  </si>
  <si>
    <t>Coffee bean</t>
  </si>
  <si>
    <t>Waymo</t>
  </si>
  <si>
    <t>Adobe *adobe Dublin</t>
  </si>
  <si>
    <t>Caffe ufficio cialde</t>
  </si>
  <si>
    <t>La metro mobile app</t>
  </si>
  <si>
    <t>Pranzo JPL</t>
  </si>
  <si>
    <t>Caffe JPL</t>
  </si>
  <si>
    <t>Airbnb</t>
  </si>
  <si>
    <t>JPL pranzo</t>
  </si>
  <si>
    <t xml:space="preserve">Satispay </t>
  </si>
  <si>
    <t>LA metro</t>
  </si>
  <si>
    <t>JPL caffe</t>
  </si>
  <si>
    <t>Spesa Vons</t>
  </si>
  <si>
    <t>Amtrak treno san Diego</t>
  </si>
  <si>
    <t>Uber</t>
  </si>
  <si>
    <t>Bonifico Istantaneo Disposto Da BOSSOLASCO MAURO</t>
  </si>
  <si>
    <t>Target</t>
  </si>
  <si>
    <t>Uscita san diego</t>
  </si>
  <si>
    <t>Vons spes</t>
  </si>
  <si>
    <t>Vons pranzo san diego</t>
  </si>
  <si>
    <t>Doritos treno</t>
  </si>
  <si>
    <t>Coffee Bean &amp; Tea Pasadena</t>
  </si>
  <si>
    <t>Trader Joe S #179</t>
  </si>
  <si>
    <t>Tours* Dixieslowerante Gilbert - maggio</t>
  </si>
  <si>
    <t>Poker</t>
  </si>
  <si>
    <t>Jpl Cafe 303 Orbit</t>
  </si>
  <si>
    <t>Pavilions #2224</t>
  </si>
  <si>
    <t>Grigliata casa italiani</t>
  </si>
  <si>
    <t>Biglietti lakers quota Anna</t>
  </si>
  <si>
    <t>Dominos</t>
  </si>
  <si>
    <t>Lakers</t>
  </si>
  <si>
    <t>Starbucks Store 0577</t>
  </si>
  <si>
    <t>Spesa vons</t>
  </si>
  <si>
    <t>19/04/26</t>
  </si>
  <si>
    <t>Innout</t>
  </si>
  <si>
    <t>21/04/26</t>
  </si>
  <si>
    <t>Satispay</t>
  </si>
  <si>
    <t>22/04/26</t>
  </si>
  <si>
    <t>Paypal spotify</t>
  </si>
  <si>
    <t>25/04/26</t>
  </si>
  <si>
    <t>Patatine los angeles market</t>
  </si>
  <si>
    <t>27/04/26</t>
  </si>
  <si>
    <t>Spese bonifico</t>
  </si>
  <si>
    <t>Amazon</t>
  </si>
  <si>
    <t>Amazon Prime</t>
  </si>
  <si>
    <t>Transfer to Martin Zieler (Birra)</t>
  </si>
  <si>
    <t>South Swell Hand Dipped</t>
  </si>
  <si>
    <t>Transfer from ANNA MOSCATI patatine</t>
  </si>
  <si>
    <t>Transfer to FRANCESCO PISACANE</t>
  </si>
  <si>
    <t>Vons</t>
  </si>
  <si>
    <t xml:space="preserve">Regalo papa </t>
  </si>
  <si>
    <t>Rtc Southern Nevada (Bus las vegas)</t>
  </si>
  <si>
    <t>McDonald’s (las vegas)</t>
  </si>
  <si>
    <t>Burger King (St George)</t>
  </si>
  <si>
    <t>Welcome To Lv @foru 282 (Souvenir)</t>
  </si>
  <si>
    <t xml:space="preserve">Trader Joe’s </t>
  </si>
  <si>
    <t xml:space="preserve">McDonald's Page </t>
  </si>
  <si>
    <t>Visible Cellulare</t>
  </si>
  <si>
    <t>Vons Spesa</t>
  </si>
  <si>
    <t>Subway Pranzo Las Vegas</t>
  </si>
  <si>
    <t>Jpl Coffee Cart</t>
  </si>
  <si>
    <t xml:space="preserve">Caltech Gym Mem. Cc </t>
  </si>
  <si>
    <t>Commissioni bonifici</t>
  </si>
  <si>
    <t>SWIFT transfer to Pasadena Airbnb Group</t>
  </si>
  <si>
    <t>Viaggio - FRANCESCO PISACANE</t>
  </si>
  <si>
    <t>Walgreens juul</t>
  </si>
  <si>
    <t>Transfer to ANDREA GALENDA beer</t>
  </si>
  <si>
    <t>Transfer to ANDREA GALENDA biliardo</t>
  </si>
  <si>
    <t>Jpl Retail  shop tazzina</t>
  </si>
  <si>
    <t>Barneys Beanery Beer</t>
  </si>
  <si>
    <t>Barney's Beanery Entrance</t>
  </si>
  <si>
    <t>Shake Shack</t>
  </si>
  <si>
    <t>R meno pata Anna</t>
  </si>
  <si>
    <t>R tolto anna e fra</t>
  </si>
  <si>
    <t>Shoo Shoo Baby Beer los angeles</t>
  </si>
  <si>
    <t>Transfer to PABLO SCHERPEREEL ARCE per rocket</t>
  </si>
  <si>
    <t>Amazon Borraccia</t>
  </si>
  <si>
    <t>Meno tonno Anna</t>
  </si>
  <si>
    <t>Spesa anna</t>
  </si>
  <si>
    <t>Amazon tenda e tonno</t>
  </si>
  <si>
    <t>Panamint campeggio</t>
  </si>
  <si>
    <t>Dv</t>
  </si>
  <si>
    <t>Amazon rimborso</t>
  </si>
  <si>
    <t>Rimborso batteria fra</t>
  </si>
  <si>
    <t>ALDI</t>
  </si>
  <si>
    <t xml:space="preserve"> Spesa condivisa ALDI</t>
  </si>
  <si>
    <t>Macchina Thibault</t>
  </si>
  <si>
    <t>Transfer to FRANCESCO PISACANE rimborso batteria</t>
  </si>
  <si>
    <t>Gia tolti rimborso meno pizza</t>
  </si>
  <si>
    <t>Transfer from ANNA MOSCATI</t>
  </si>
  <si>
    <t>Gia tolti</t>
  </si>
  <si>
    <t>Transfer from LOU-ANN JEANNE DOMINIQUE PARIETTI</t>
  </si>
  <si>
    <t>Transfer from THÉO MARC BASTIEN PICHAVANT</t>
  </si>
  <si>
    <t>Amazon caricabatterie ceci</t>
  </si>
  <si>
    <t>Alcatraz CIty Cruises</t>
  </si>
  <si>
    <t>Transfer to MATTEO GIOVANNI JUVARA</t>
  </si>
  <si>
    <t>Aiaa Institute Store</t>
  </si>
  <si>
    <t>Transfer from EDOARDO SANTERO MORMILE</t>
  </si>
  <si>
    <t>Transfer to ANDREA GALENDA poker</t>
  </si>
  <si>
    <t>FedEx</t>
  </si>
  <si>
    <t>Transfer from THIBAULT ARLINDO MATAHI CLARA</t>
  </si>
  <si>
    <t>Overleaf</t>
  </si>
  <si>
    <t>Transfer to VINCENZO POLIZZI</t>
  </si>
  <si>
    <t>Transfer to ANNA MOSCATI regalo matte</t>
  </si>
  <si>
    <t>Transfer to FRANCESCO PISACANE santa barbara</t>
  </si>
  <si>
    <t>Transfer to GIACOMO CAIRONI birra festa mette</t>
  </si>
  <si>
    <t>Hotel Garrett</t>
  </si>
  <si>
    <t>Honeybird</t>
  </si>
  <si>
    <t>Masabi - bus aeroporto</t>
  </si>
  <si>
    <t>Clipper Card</t>
  </si>
  <si>
    <t>Taqueria Castillo B</t>
  </si>
  <si>
    <t>SFMTA trasporti sf</t>
  </si>
  <si>
    <t>San Francisco Citywear</t>
  </si>
  <si>
    <t>City View Restaurant - dumping</t>
  </si>
  <si>
    <t>Pier Market</t>
  </si>
  <si>
    <t>Bubba Gump Shrimp Co.</t>
  </si>
  <si>
    <t>Clipper Card - golden gate</t>
  </si>
  <si>
    <t>Masabi bus aeroporto</t>
  </si>
  <si>
    <t>Drake's Flyaway</t>
  </si>
  <si>
    <t>Biscoff Coffee Corner</t>
  </si>
  <si>
    <t>Bonifico</t>
  </si>
  <si>
    <t>Stipendio O Pensione</t>
  </si>
  <si>
    <t>EDreams Madrid</t>
  </si>
  <si>
    <t>Benza DV</t>
  </si>
  <si>
    <r>
      <rPr>
        <u val="single"/>
        <sz val="10"/>
        <color indexed="8"/>
        <rFont val="Arial"/>
      </rPr>
      <t>Help.discoveryplus.com</t>
    </r>
  </si>
  <si>
    <t>Affitto persi per bonifico</t>
  </si>
  <si>
    <t>Visible</t>
  </si>
  <si>
    <t>Tap Transit</t>
  </si>
  <si>
    <r>
      <rPr>
        <u val="single"/>
        <sz val="10"/>
        <color indexed="8"/>
        <rFont val="Helvetica Neue"/>
      </rPr>
      <t>Recreation,gov</t>
    </r>
  </si>
  <si>
    <t>40-20 di fra</t>
  </si>
  <si>
    <t>Transfer from FRANCESCO PISACANE</t>
  </si>
  <si>
    <t>La Perla Cocina #2</t>
  </si>
  <si>
    <t>Moonshine Flats Ga Discoteca san diego</t>
  </si>
  <si>
    <t>Mike Hess Brewing</t>
  </si>
  <si>
    <t>Transfer to ANDREA GALENDA Caffe pod</t>
  </si>
  <si>
    <t>Transfer to VINCENZO POLIZZI San diego trip</t>
  </si>
  <si>
    <t>Vallarta Vfe 51</t>
  </si>
  <si>
    <t>Ralphs</t>
  </si>
  <si>
    <t>CVS Pharmacy</t>
  </si>
  <si>
    <t>Fig Garden Village</t>
  </si>
  <si>
    <t>In-n-Out Burger</t>
  </si>
  <si>
    <t>Transfer from ANDREA GALENDA</t>
  </si>
  <si>
    <t>Transfer to MATTEO GIOVANNI JUVARA sushi</t>
  </si>
  <si>
    <t>Ca Dmv 509</t>
  </si>
  <si>
    <t>Ca Dmv 509 Svc</t>
  </si>
  <si>
    <t>Transfer from MATTEO GIOVANNI JUVARA</t>
  </si>
  <si>
    <t>Ross</t>
  </si>
  <si>
    <t>Transfer to Julia Johnston tavola rotta</t>
  </si>
  <si>
    <t>Amazon olio</t>
  </si>
  <si>
    <t>Transfer to Matthew Fernandez sushi</t>
  </si>
  <si>
    <t>California Institute of Technology</t>
  </si>
  <si>
    <t>Transfer to MATTEO GIOVANNI JUVARA chiusura tircount</t>
  </si>
  <si>
    <t>Transfer to Matthew Fernandez cena grigliata</t>
  </si>
  <si>
    <t>Regalo faso</t>
  </si>
  <si>
    <t>Discovery</t>
  </si>
  <si>
    <t>Gemini pro</t>
  </si>
  <si>
    <t>Persi per trasferimento denaro Revolut</t>
  </si>
  <si>
    <t>Transfer from VINCENZO POLIZZI</t>
  </si>
  <si>
    <t>Joe's Deli (ice)</t>
  </si>
  <si>
    <t>Transfer to MARCO CORAIOLA</t>
  </si>
  <si>
    <t>Maverik</t>
  </si>
  <si>
    <t>Marriott Bonvoy Hotels</t>
  </si>
  <si>
    <t>Bozeman Convention &amp; Visitors Bureau</t>
  </si>
  <si>
    <t>Old Faithful Snow Lodge</t>
  </si>
  <si>
    <t>Canyon General Mini-Mart</t>
  </si>
  <si>
    <t>Jack in the Box</t>
  </si>
  <si>
    <t>eDreams</t>
  </si>
  <si>
    <t>Transfer to Matthew Fernandez</t>
  </si>
  <si>
    <t>Milt`s Liquor</t>
  </si>
  <si>
    <t>Bonifico istantaneo da voi disposto a favore di Andrea Galenda</t>
  </si>
  <si>
    <t>Transfer to Andrea</t>
  </si>
  <si>
    <t>Vallarta Lasagna</t>
  </si>
  <si>
    <t>Vallarta</t>
  </si>
  <si>
    <t>Transfer to Matthew Fernandez - bbq</t>
  </si>
  <si>
    <t>Costco</t>
  </si>
  <si>
    <t>Fandango</t>
  </si>
  <si>
    <t>Per 3</t>
  </si>
  <si>
    <t>Transfer to CHAIAA RAIHANE DJELOUAT</t>
  </si>
  <si>
    <t>Fandangoclub Trial Mon</t>
  </si>
  <si>
    <t>Topgolf</t>
  </si>
  <si>
    <t>Jpl Retail Shop</t>
  </si>
  <si>
    <t>Topgolf Montebello</t>
  </si>
  <si>
    <t>Biglietti mostertruck</t>
  </si>
  <si>
    <t>Transfer to POL PIFARRE COTS</t>
  </si>
  <si>
    <t>Hoagies - pranzo primo beach</t>
  </si>
  <si>
    <t>Transfer to ANDREA GALENDA</t>
  </si>
  <si>
    <t>Vandenberg and prism beach</t>
  </si>
  <si>
    <t>Albertsons</t>
  </si>
  <si>
    <t>BBQ vari</t>
  </si>
  <si>
    <t>Transfer from FABIO VALERIO BUONOMO</t>
  </si>
  <si>
    <t>Transfer to Siddhant Tandon</t>
  </si>
  <si>
    <t>Rimborso affitto</t>
  </si>
  <si>
    <t>Whole Foods Market</t>
  </si>
  <si>
    <t>Birre</t>
  </si>
  <si>
    <t>Sushi</t>
  </si>
  <si>
    <t>Expenses Summary by Category-1</t>
  </si>
</sst>
</file>

<file path=xl/styles.xml><?xml version="1.0" encoding="utf-8"?>
<styleSheet xmlns="http://schemas.openxmlformats.org/spreadsheetml/2006/main">
  <numFmts count="14">
    <numFmt numFmtId="0" formatCode="General"/>
    <numFmt numFmtId="59" formatCode="mmmm"/>
    <numFmt numFmtId="60" formatCode="[$€-2] #,##0.00_);[Red]\([$€-2] #,##0.00\)"/>
    <numFmt numFmtId="61" formatCode="[$€-2] 0.00"/>
    <numFmt numFmtId="62" formatCode="[$€-2]#,##0.00_);[Red]\([$€-2]#,##0.00\)"/>
    <numFmt numFmtId="63" formatCode="0.0000"/>
    <numFmt numFmtId="64" formatCode="[$$-409] #,##0"/>
    <numFmt numFmtId="65" formatCode="[$€-2]&quot; &quot;#,##0"/>
    <numFmt numFmtId="66" formatCode="[$$-409] #,##0.00"/>
    <numFmt numFmtId="67" formatCode="dd/mm/yy"/>
    <numFmt numFmtId="68" formatCode="dd/mm/yyyy"/>
    <numFmt numFmtId="69" formatCode="d/m/yy"/>
    <numFmt numFmtId="70" formatCode="[$€-2] 0.0000"/>
    <numFmt numFmtId="71" formatCode="[$€-2] #,##0.00"/>
  </numFmts>
  <fonts count="1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18"/>
      <name val="Helvetica Neue"/>
    </font>
    <font>
      <sz val="10"/>
      <color indexed="8"/>
      <name val="Arial"/>
    </font>
    <font>
      <sz val="15"/>
      <color indexed="8"/>
      <name val="Calibri"/>
    </font>
    <font>
      <b val="1"/>
      <sz val="10"/>
      <color indexed="8"/>
      <name val="Arial"/>
    </font>
    <font>
      <b val="1"/>
      <sz val="10"/>
      <color indexed="18"/>
      <name val="Helvetica Neue"/>
    </font>
    <font>
      <sz val="10"/>
      <color indexed="8"/>
      <name val="Helvetica Neue Medium"/>
    </font>
    <font>
      <b val="1"/>
      <sz val="24"/>
      <color indexed="46"/>
      <name val="Helvetica Neue"/>
    </font>
    <font>
      <b val="1"/>
      <sz val="18"/>
      <color indexed="8"/>
      <name val="Helvetica Neue"/>
    </font>
    <font>
      <u val="single"/>
      <sz val="10"/>
      <color indexed="8"/>
      <name val="Arial"/>
    </font>
    <font>
      <u val="single"/>
      <sz val="10"/>
      <color indexed="8"/>
      <name val="Helvetica Neue"/>
    </font>
  </fonts>
  <fills count="1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37"/>
        <bgColor auto="1"/>
      </patternFill>
    </fill>
    <fill>
      <patternFill patternType="solid">
        <fgColor indexed="38"/>
        <bgColor auto="1"/>
      </patternFill>
    </fill>
    <fill>
      <patternFill patternType="solid">
        <fgColor indexed="18"/>
        <bgColor auto="1"/>
      </patternFill>
    </fill>
  </fills>
  <borders count="10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4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1"/>
      </left>
      <right style="thin">
        <color indexed="13"/>
      </right>
      <top style="thin">
        <color indexed="10"/>
      </top>
      <bottom style="thin">
        <color indexed="14"/>
      </bottom>
      <diagonal/>
    </border>
    <border>
      <left style="thin">
        <color indexed="13"/>
      </left>
      <right style="thin">
        <color indexed="13"/>
      </right>
      <top style="thin">
        <color indexed="10"/>
      </top>
      <bottom style="thin">
        <color indexed="14"/>
      </bottom>
      <diagonal/>
    </border>
    <border>
      <left style="thin">
        <color indexed="13"/>
      </left>
      <right style="thin">
        <color indexed="10"/>
      </right>
      <top style="thin">
        <color indexed="10"/>
      </top>
      <bottom style="thin">
        <color indexed="14"/>
      </bottom>
      <diagonal/>
    </border>
    <border>
      <left style="thin">
        <color indexed="10"/>
      </left>
      <right style="thin">
        <color indexed="14"/>
      </right>
      <top style="thin">
        <color indexed="14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4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1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0"/>
      </bottom>
      <diagonal/>
    </border>
    <border>
      <left style="thin">
        <color indexed="13"/>
      </left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4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3"/>
      </left>
      <right style="thin">
        <color indexed="13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3"/>
      </left>
      <right style="thin">
        <color indexed="13"/>
      </right>
      <top style="thin">
        <color indexed="10"/>
      </top>
      <bottom style="thin">
        <color indexed="13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medium">
        <color indexed="26"/>
      </bottom>
      <diagonal/>
    </border>
    <border>
      <left style="thin">
        <color indexed="25"/>
      </left>
      <right style="medium">
        <color indexed="26"/>
      </right>
      <top style="thin">
        <color indexed="25"/>
      </top>
      <bottom style="thin">
        <color indexed="25"/>
      </bottom>
      <diagonal/>
    </border>
    <border>
      <left style="medium">
        <color indexed="26"/>
      </left>
      <right/>
      <top style="medium">
        <color indexed="26"/>
      </top>
      <bottom style="medium">
        <color indexed="26"/>
      </bottom>
      <diagonal/>
    </border>
    <border>
      <left/>
      <right/>
      <top style="medium">
        <color indexed="26"/>
      </top>
      <bottom style="medium">
        <color indexed="26"/>
      </bottom>
      <diagonal/>
    </border>
    <border>
      <left/>
      <right style="medium">
        <color indexed="26"/>
      </right>
      <top style="medium">
        <color indexed="26"/>
      </top>
      <bottom style="medium">
        <color indexed="26"/>
      </bottom>
      <diagonal/>
    </border>
    <border>
      <left style="medium">
        <color indexed="26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medium">
        <color indexed="26"/>
      </top>
      <bottom style="medium">
        <color indexed="8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medium">
        <color indexed="8"/>
      </bottom>
      <diagonal/>
    </border>
    <border>
      <left style="thin">
        <color indexed="25"/>
      </left>
      <right style="medium">
        <color indexed="8"/>
      </right>
      <top style="thin">
        <color indexed="25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25"/>
      </right>
      <top style="medium">
        <color indexed="8"/>
      </top>
      <bottom style="thin">
        <color indexed="8"/>
      </bottom>
      <diagonal/>
    </border>
    <border>
      <left style="thin">
        <color indexed="25"/>
      </left>
      <right style="thin">
        <color indexed="25"/>
      </right>
      <top style="medium">
        <color indexed="8"/>
      </top>
      <bottom style="thin">
        <color indexed="8"/>
      </bottom>
      <diagonal/>
    </border>
    <border>
      <left style="thin">
        <color indexed="25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25"/>
      </right>
      <top style="thin">
        <color indexed="25"/>
      </top>
      <bottom/>
      <diagonal/>
    </border>
    <border>
      <left style="thin">
        <color indexed="25"/>
      </left>
      <right style="thin">
        <color indexed="25"/>
      </right>
      <top style="thin">
        <color indexed="25"/>
      </top>
      <bottom/>
      <diagonal/>
    </border>
    <border>
      <left style="thin">
        <color indexed="25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25"/>
      </right>
      <top/>
      <bottom/>
      <diagonal/>
    </border>
    <border>
      <left style="thin">
        <color indexed="25"/>
      </left>
      <right style="medium">
        <color indexed="8"/>
      </right>
      <top/>
      <bottom style="thin">
        <color indexed="25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25"/>
      </right>
      <top/>
      <bottom style="thin">
        <color indexed="25"/>
      </bottom>
      <diagonal/>
    </border>
    <border>
      <left style="thin">
        <color indexed="25"/>
      </left>
      <right style="thin">
        <color indexed="25"/>
      </right>
      <top/>
      <bottom style="thin">
        <color indexed="25"/>
      </bottom>
      <diagonal/>
    </border>
    <border>
      <left style="thin">
        <color indexed="25"/>
      </left>
      <right style="medium">
        <color indexed="8"/>
      </right>
      <top style="thin">
        <color indexed="25"/>
      </top>
      <bottom style="thin">
        <color indexed="25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25"/>
      </right>
      <top style="thin">
        <color indexed="8"/>
      </top>
      <bottom style="medium">
        <color indexed="8"/>
      </bottom>
      <diagonal/>
    </border>
    <border>
      <left style="thin">
        <color indexed="25"/>
      </left>
      <right style="thin">
        <color indexed="25"/>
      </right>
      <top style="thin">
        <color indexed="8"/>
      </top>
      <bottom style="medium">
        <color indexed="8"/>
      </bottom>
      <diagonal/>
    </border>
    <border>
      <left style="thin">
        <color indexed="25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25"/>
      </left>
      <right style="thin">
        <color indexed="8"/>
      </right>
      <top style="thin">
        <color indexed="25"/>
      </top>
      <bottom style="thin">
        <color indexed="25"/>
      </bottom>
      <diagonal/>
    </border>
    <border>
      <left style="thin">
        <color indexed="8"/>
      </left>
      <right/>
      <top style="medium">
        <color indexed="8"/>
      </top>
      <bottom style="medium">
        <color indexed="32"/>
      </bottom>
      <diagonal/>
    </border>
    <border>
      <left/>
      <right/>
      <top style="medium">
        <color indexed="8"/>
      </top>
      <bottom style="medium">
        <color indexed="32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25"/>
      </left>
      <right style="medium">
        <color indexed="32"/>
      </right>
      <top style="thin">
        <color indexed="25"/>
      </top>
      <bottom style="thin">
        <color indexed="25"/>
      </bottom>
      <diagonal/>
    </border>
    <border>
      <left style="medium">
        <color indexed="32"/>
      </left>
      <right style="thin">
        <color indexed="8"/>
      </right>
      <top style="medium">
        <color indexed="32"/>
      </top>
      <bottom style="medium">
        <color indexed="32"/>
      </bottom>
      <diagonal/>
    </border>
    <border>
      <left style="thin">
        <color indexed="8"/>
      </left>
      <right style="thin">
        <color indexed="8"/>
      </right>
      <top style="medium">
        <color indexed="32"/>
      </top>
      <bottom style="medium">
        <color indexed="32"/>
      </bottom>
      <diagonal/>
    </border>
    <border>
      <left style="thin">
        <color indexed="25"/>
      </left>
      <right style="thin">
        <color indexed="25"/>
      </right>
      <top style="medium">
        <color indexed="32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medium">
        <color indexed="8"/>
      </top>
      <bottom style="thin">
        <color indexed="25"/>
      </bottom>
      <diagonal/>
    </border>
    <border>
      <left style="thin">
        <color indexed="34"/>
      </left>
      <right style="thin">
        <color indexed="18"/>
      </right>
      <top style="thin">
        <color indexed="34"/>
      </top>
      <bottom style="thin">
        <color indexed="35"/>
      </bottom>
      <diagonal/>
    </border>
    <border>
      <left style="thin">
        <color indexed="18"/>
      </left>
      <right style="thin">
        <color indexed="18"/>
      </right>
      <top style="thin">
        <color indexed="34"/>
      </top>
      <bottom style="thin">
        <color indexed="35"/>
      </bottom>
      <diagonal/>
    </border>
    <border>
      <left style="thin">
        <color indexed="18"/>
      </left>
      <right style="thin">
        <color indexed="34"/>
      </right>
      <top style="thin">
        <color indexed="34"/>
      </top>
      <bottom style="thin">
        <color indexed="35"/>
      </bottom>
      <diagonal/>
    </border>
    <border>
      <left style="thin">
        <color indexed="34"/>
      </left>
      <right style="thin">
        <color indexed="34"/>
      </right>
      <top style="thin">
        <color indexed="35"/>
      </top>
      <bottom style="thin">
        <color indexed="34"/>
      </bottom>
      <diagonal/>
    </border>
    <border>
      <left style="thin">
        <color indexed="34"/>
      </left>
      <right style="thin">
        <color indexed="34"/>
      </right>
      <top style="thin">
        <color indexed="34"/>
      </top>
      <bottom style="thin">
        <color indexed="34"/>
      </bottom>
      <diagonal/>
    </border>
    <border>
      <left style="thin">
        <color indexed="34"/>
      </left>
      <right style="thin">
        <color indexed="35"/>
      </right>
      <top style="thin">
        <color indexed="35"/>
      </top>
      <bottom style="thin">
        <color indexed="34"/>
      </bottom>
      <diagonal/>
    </border>
    <border>
      <left style="thin">
        <color indexed="35"/>
      </left>
      <right style="thin">
        <color indexed="34"/>
      </right>
      <top style="thin">
        <color indexed="35"/>
      </top>
      <bottom style="thin">
        <color indexed="34"/>
      </bottom>
      <diagonal/>
    </border>
    <border>
      <left style="thin">
        <color indexed="34"/>
      </left>
      <right style="thin">
        <color indexed="35"/>
      </right>
      <top style="thin">
        <color indexed="34"/>
      </top>
      <bottom style="thin">
        <color indexed="34"/>
      </bottom>
      <diagonal/>
    </border>
    <border>
      <left style="thin">
        <color indexed="35"/>
      </left>
      <right style="thin">
        <color indexed="34"/>
      </right>
      <top style="thin">
        <color indexed="34"/>
      </top>
      <bottom style="thin">
        <color indexed="34"/>
      </bottom>
      <diagonal/>
    </border>
    <border>
      <left style="thin">
        <color indexed="34"/>
      </left>
      <right style="thin">
        <color indexed="35"/>
      </right>
      <top style="thin">
        <color indexed="34"/>
      </top>
      <bottom style="thin">
        <color indexed="35"/>
      </bottom>
      <diagonal/>
    </border>
    <border>
      <left style="thin">
        <color indexed="35"/>
      </left>
      <right style="thin">
        <color indexed="34"/>
      </right>
      <top style="thin">
        <color indexed="34"/>
      </top>
      <bottom style="thin">
        <color indexed="35"/>
      </bottom>
      <diagonal/>
    </border>
    <border>
      <left style="thin">
        <color indexed="34"/>
      </left>
      <right style="thin">
        <color indexed="34"/>
      </right>
      <top style="thin">
        <color indexed="34"/>
      </top>
      <bottom style="thin">
        <color indexed="35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3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top" wrapText="1"/>
    </xf>
    <xf numFmtId="0" fontId="2" fillId="2" borderId="2" applyNumberFormat="0" applyFont="1" applyFill="1" applyBorder="1" applyAlignment="1" applyProtection="0">
      <alignment vertical="top" wrapText="1"/>
    </xf>
    <xf numFmtId="49" fontId="2" fillId="3" borderId="3" applyNumberFormat="1" applyFont="1" applyFill="1" applyBorder="1" applyAlignment="1" applyProtection="0">
      <alignment horizontal="center" vertical="top" wrapText="1"/>
    </xf>
    <xf numFmtId="0" fontId="2" fillId="2" borderId="4" applyNumberFormat="0" applyFont="1" applyFill="1" applyBorder="1" applyAlignment="1" applyProtection="0">
      <alignment vertical="top" wrapText="1"/>
    </xf>
    <xf numFmtId="49" fontId="2" fillId="2" borderId="5" applyNumberFormat="1" applyFont="1" applyFill="1" applyBorder="1" applyAlignment="1" applyProtection="0">
      <alignment horizontal="center" vertical="top" wrapText="1"/>
    </xf>
    <xf numFmtId="49" fontId="2" fillId="3" borderId="6" applyNumberFormat="1" applyFont="1" applyFill="1" applyBorder="1" applyAlignment="1" applyProtection="0">
      <alignment horizontal="center" vertical="top" wrapText="1"/>
    </xf>
    <xf numFmtId="49" fontId="2" fillId="2" borderId="7" applyNumberFormat="1" applyFont="1" applyFill="1" applyBorder="1" applyAlignment="1" applyProtection="0">
      <alignment horizontal="center" vertical="top" wrapText="1"/>
    </xf>
    <xf numFmtId="0" fontId="2" fillId="2" borderId="1" applyNumberFormat="0" applyFont="1" applyFill="1" applyBorder="1" applyAlignment="1" applyProtection="0">
      <alignment horizontal="center" vertical="top" wrapText="1"/>
    </xf>
    <xf numFmtId="0" fontId="2" fillId="2" borderId="8" applyNumberFormat="0" applyFont="1" applyFill="1" applyBorder="1" applyAlignment="1" applyProtection="0">
      <alignment vertical="top" wrapText="1"/>
    </xf>
    <xf numFmtId="49" fontId="2" fillId="2" borderId="8" applyNumberFormat="1" applyFont="1" applyFill="1" applyBorder="1" applyAlignment="1" applyProtection="0">
      <alignment horizontal="center" vertical="top" wrapText="1"/>
    </xf>
    <xf numFmtId="49" fontId="2" fillId="2" borderId="9" applyNumberFormat="1" applyFont="1" applyFill="1" applyBorder="1" applyAlignment="1" applyProtection="0">
      <alignment horizontal="center" vertical="top" wrapText="1"/>
    </xf>
    <xf numFmtId="49" fontId="2" fillId="3" borderId="10" applyNumberFormat="1" applyFont="1" applyFill="1" applyBorder="1" applyAlignment="1" applyProtection="0">
      <alignment horizontal="center" vertical="top" wrapText="1"/>
    </xf>
    <xf numFmtId="49" fontId="2" fillId="3" borderId="9" applyNumberFormat="1" applyFont="1" applyFill="1" applyBorder="1" applyAlignment="1" applyProtection="0">
      <alignment horizontal="center" vertical="top" wrapText="1"/>
    </xf>
    <xf numFmtId="49" fontId="2" fillId="2" borderId="11" applyNumberFormat="1" applyFont="1" applyFill="1" applyBorder="1" applyAlignment="1" applyProtection="0">
      <alignment horizontal="center" vertical="top" wrapText="1"/>
    </xf>
    <xf numFmtId="0" fontId="2" fillId="3" borderId="12" applyNumberFormat="0" applyFont="1" applyFill="1" applyBorder="1" applyAlignment="1" applyProtection="0">
      <alignment horizontal="center" vertical="top" wrapText="1"/>
    </xf>
    <xf numFmtId="49" fontId="2" fillId="2" borderId="13" applyNumberFormat="1" applyFont="1" applyFill="1" applyBorder="1" applyAlignment="1" applyProtection="0">
      <alignment horizontal="center" vertical="top" wrapText="1"/>
    </xf>
    <xf numFmtId="0" fontId="2" fillId="2" borderId="8" applyNumberFormat="0" applyFont="1" applyFill="1" applyBorder="1" applyAlignment="1" applyProtection="0">
      <alignment horizontal="center" vertical="top" wrapText="1"/>
    </xf>
    <xf numFmtId="59" fontId="2" fillId="4" borderId="14" applyNumberFormat="1" applyFont="1" applyFill="1" applyBorder="1" applyAlignment="1" applyProtection="0">
      <alignment vertical="top" wrapText="1"/>
    </xf>
    <xf numFmtId="60" fontId="0" borderId="15" applyNumberFormat="1" applyFont="1" applyFill="0" applyBorder="1" applyAlignment="1" applyProtection="0">
      <alignment vertical="top" wrapText="1"/>
    </xf>
    <xf numFmtId="60" fontId="0" borderId="16" applyNumberFormat="1" applyFont="1" applyFill="0" applyBorder="1" applyAlignment="1" applyProtection="0">
      <alignment vertical="top" wrapText="1"/>
    </xf>
    <xf numFmtId="60" fontId="0" fillId="5" borderId="17" applyNumberFormat="1" applyFont="1" applyFill="1" applyBorder="1" applyAlignment="1" applyProtection="0">
      <alignment vertical="top" wrapText="1"/>
    </xf>
    <xf numFmtId="60" fontId="0" fillId="5" borderId="16" applyNumberFormat="1" applyFont="1" applyFill="1" applyBorder="1" applyAlignment="1" applyProtection="0">
      <alignment vertical="top" wrapText="1"/>
    </xf>
    <xf numFmtId="60" fontId="0" borderId="18" applyNumberFormat="1" applyFont="1" applyFill="0" applyBorder="1" applyAlignment="1" applyProtection="0">
      <alignment vertical="top" wrapText="1"/>
    </xf>
    <xf numFmtId="60" fontId="0" fillId="6" borderId="19" applyNumberFormat="1" applyFont="1" applyFill="1" applyBorder="1" applyAlignment="1" applyProtection="0">
      <alignment vertical="top" wrapText="1"/>
    </xf>
    <xf numFmtId="60" fontId="0" borderId="20" applyNumberFormat="1" applyFont="1" applyFill="0" applyBorder="1" applyAlignment="1" applyProtection="0">
      <alignment vertical="top" wrapText="1"/>
    </xf>
    <xf numFmtId="60" fontId="0" borderId="21" applyNumberFormat="1" applyFont="1" applyFill="0" applyBorder="1" applyAlignment="1" applyProtection="0">
      <alignment vertical="top" wrapText="1"/>
    </xf>
    <xf numFmtId="59" fontId="2" fillId="4" borderId="22" applyNumberFormat="1" applyFont="1" applyFill="1" applyBorder="1" applyAlignment="1" applyProtection="0">
      <alignment vertical="top" wrapText="1"/>
    </xf>
    <xf numFmtId="61" fontId="0" borderId="23" applyNumberFormat="1" applyFont="1" applyFill="0" applyBorder="1" applyAlignment="1" applyProtection="0">
      <alignment vertical="top" wrapText="1"/>
    </xf>
    <xf numFmtId="61" fontId="0" borderId="2" applyNumberFormat="1" applyFont="1" applyFill="0" applyBorder="1" applyAlignment="1" applyProtection="0">
      <alignment vertical="top" wrapText="1"/>
    </xf>
    <xf numFmtId="61" fontId="0" fillId="5" borderId="24" applyNumberFormat="1" applyFont="1" applyFill="1" applyBorder="1" applyAlignment="1" applyProtection="0">
      <alignment vertical="top" wrapText="1"/>
    </xf>
    <xf numFmtId="61" fontId="0" fillId="5" borderId="2" applyNumberFormat="1" applyFont="1" applyFill="1" applyBorder="1" applyAlignment="1" applyProtection="0">
      <alignment vertical="top" wrapText="1"/>
    </xf>
    <xf numFmtId="60" fontId="0" borderId="5" applyNumberFormat="1" applyFont="1" applyFill="0" applyBorder="1" applyAlignment="1" applyProtection="0">
      <alignment vertical="top" wrapText="1"/>
    </xf>
    <xf numFmtId="60" fontId="0" fillId="6" borderId="25" applyNumberFormat="1" applyFont="1" applyFill="1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60" fontId="0" borderId="1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61" fontId="0" fillId="5" borderId="26" applyNumberFormat="1" applyFont="1" applyFill="1" applyBorder="1" applyAlignment="1" applyProtection="0">
      <alignment vertical="top" wrapText="1"/>
    </xf>
    <xf numFmtId="61" fontId="0" fillId="5" borderId="27" applyNumberFormat="1" applyFont="1" applyFill="1" applyBorder="1" applyAlignment="1" applyProtection="0">
      <alignment vertical="top" wrapText="1"/>
    </xf>
    <xf numFmtId="60" fontId="0" fillId="6" borderId="28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2" fillId="2" borderId="8" applyNumberFormat="1" applyFont="1" applyFill="1" applyBorder="1" applyAlignment="1" applyProtection="0">
      <alignment horizontal="center" vertical="top" wrapText="1"/>
    </xf>
    <xf numFmtId="49" fontId="2" fillId="4" borderId="14" applyNumberFormat="1" applyFont="1" applyFill="1" applyBorder="1" applyAlignment="1" applyProtection="0">
      <alignment vertical="top" wrapText="1"/>
    </xf>
    <xf numFmtId="60" fontId="0" fillId="7" borderId="15" applyNumberFormat="1" applyFont="1" applyFill="1" applyBorder="1" applyAlignment="1" applyProtection="0">
      <alignment vertical="top" wrapText="1"/>
    </xf>
    <xf numFmtId="60" fontId="0" fillId="7" borderId="21" applyNumberFormat="1" applyFont="1" applyFill="1" applyBorder="1" applyAlignment="1" applyProtection="0">
      <alignment vertical="top" wrapText="1"/>
    </xf>
    <xf numFmtId="49" fontId="2" fillId="4" borderId="22" applyNumberFormat="1" applyFont="1" applyFill="1" applyBorder="1" applyAlignment="1" applyProtection="0">
      <alignment vertical="top" wrapText="1"/>
    </xf>
    <xf numFmtId="60" fontId="0" fillId="7" borderId="23" applyNumberFormat="1" applyFont="1" applyFill="1" applyBorder="1" applyAlignment="1" applyProtection="0">
      <alignment vertical="top" wrapText="1"/>
    </xf>
    <xf numFmtId="60" fontId="0" fillId="7" borderId="1" applyNumberFormat="1" applyFont="1" applyFill="1" applyBorder="1" applyAlignment="1" applyProtection="0">
      <alignment vertical="top" wrapText="1"/>
    </xf>
    <xf numFmtId="61" fontId="0" fillId="7" borderId="1" applyNumberFormat="1" applyFont="1" applyFill="1" applyBorder="1" applyAlignment="1" applyProtection="0">
      <alignment vertical="top" wrapText="1"/>
    </xf>
    <xf numFmtId="61" fontId="0" borderId="1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15" applyNumberFormat="1" applyFont="1" applyFill="0" applyBorder="1" applyAlignment="1" applyProtection="0">
      <alignment vertical="top" wrapText="1"/>
    </xf>
    <xf numFmtId="0" fontId="0" borderId="21" applyNumberFormat="0" applyFont="1" applyFill="0" applyBorder="1" applyAlignment="1" applyProtection="0">
      <alignment vertical="top" wrapText="1"/>
    </xf>
    <xf numFmtId="0" fontId="0" borderId="23" applyNumberFormat="1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vertical="top" wrapText="1"/>
    </xf>
    <xf numFmtId="0" fontId="2" fillId="4" borderId="22" applyNumberFormat="0" applyFont="1" applyFill="1" applyBorder="1" applyAlignment="1" applyProtection="0">
      <alignment vertical="top" wrapText="1"/>
    </xf>
    <xf numFmtId="0" fontId="0" borderId="23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8" applyNumberFormat="1" applyFont="1" applyFill="1" applyBorder="1" applyAlignment="1" applyProtection="0">
      <alignment vertical="top" wrapText="1"/>
    </xf>
    <xf numFmtId="0" fontId="2" fillId="4" borderId="14" applyNumberFormat="1" applyFont="1" applyFill="1" applyBorder="1" applyAlignment="1" applyProtection="0">
      <alignment vertical="top" wrapText="1"/>
    </xf>
    <xf numFmtId="63" fontId="0" borderId="21" applyNumberFormat="1" applyFont="1" applyFill="0" applyBorder="1" applyAlignment="1" applyProtection="0">
      <alignment vertical="top" wrapText="1"/>
    </xf>
    <xf numFmtId="0" fontId="2" fillId="4" borderId="22" applyNumberFormat="1" applyFont="1" applyFill="1" applyBorder="1" applyAlignment="1" applyProtection="0">
      <alignment vertical="top" wrapText="1"/>
    </xf>
    <xf numFmtId="63" fontId="0" borderId="1" applyNumberFormat="1" applyFont="1" applyFill="0" applyBorder="1" applyAlignment="1" applyProtection="0">
      <alignment vertical="top" wrapText="1"/>
    </xf>
    <xf numFmtId="0" fontId="4" applyNumberFormat="1" applyFont="1" applyFill="0" applyBorder="0" applyAlignment="1" applyProtection="0">
      <alignment vertical="bottom"/>
    </xf>
    <xf numFmtId="0" fontId="4" borderId="29" applyNumberFormat="0" applyFont="1" applyFill="0" applyBorder="1" applyAlignment="1" applyProtection="0">
      <alignment vertical="bottom"/>
    </xf>
    <xf numFmtId="0" fontId="4" borderId="30" applyNumberFormat="0" applyFont="1" applyFill="0" applyBorder="1" applyAlignment="1" applyProtection="0">
      <alignment vertical="bottom"/>
    </xf>
    <xf numFmtId="0" fontId="4" borderId="31" applyNumberFormat="0" applyFont="1" applyFill="0" applyBorder="1" applyAlignment="1" applyProtection="0">
      <alignment vertical="bottom"/>
    </xf>
    <xf numFmtId="49" fontId="4" fillId="8" borderId="32" applyNumberFormat="1" applyFont="1" applyFill="1" applyBorder="1" applyAlignment="1" applyProtection="0">
      <alignment vertical="bottom" wrapText="1"/>
    </xf>
    <xf numFmtId="49" fontId="4" fillId="8" borderId="33" applyNumberFormat="1" applyFont="1" applyFill="1" applyBorder="1" applyAlignment="1" applyProtection="0">
      <alignment vertical="bottom" wrapText="1"/>
    </xf>
    <xf numFmtId="0" fontId="6" fillId="8" borderId="33" applyNumberFormat="1" applyFont="1" applyFill="1" applyBorder="1" applyAlignment="1" applyProtection="0">
      <alignment vertical="bottom"/>
    </xf>
    <xf numFmtId="0" fontId="4" fillId="8" borderId="33" applyNumberFormat="0" applyFont="1" applyFill="1" applyBorder="1" applyAlignment="1" applyProtection="0">
      <alignment vertical="bottom"/>
    </xf>
    <xf numFmtId="0" fontId="4" fillId="8" borderId="34" applyNumberFormat="0" applyFont="1" applyFill="1" applyBorder="1" applyAlignment="1" applyProtection="0">
      <alignment vertical="bottom"/>
    </xf>
    <xf numFmtId="0" fontId="4" borderId="35" applyNumberFormat="0" applyFont="1" applyFill="0" applyBorder="1" applyAlignment="1" applyProtection="0">
      <alignment vertical="bottom"/>
    </xf>
    <xf numFmtId="0" fontId="6" borderId="29" applyNumberFormat="0" applyFont="1" applyFill="0" applyBorder="1" applyAlignment="1" applyProtection="0">
      <alignment horizontal="center" vertical="bottom"/>
    </xf>
    <xf numFmtId="0" fontId="6" borderId="36" applyNumberFormat="0" applyFont="1" applyFill="0" applyBorder="1" applyAlignment="1" applyProtection="0">
      <alignment horizontal="center" vertical="bottom"/>
    </xf>
    <xf numFmtId="0" fontId="6" borderId="37" applyNumberFormat="0" applyFont="1" applyFill="0" applyBorder="1" applyAlignment="1" applyProtection="0">
      <alignment horizontal="center" vertical="bottom"/>
    </xf>
    <xf numFmtId="0" fontId="6" borderId="38" applyNumberFormat="0" applyFont="1" applyFill="0" applyBorder="1" applyAlignment="1" applyProtection="0">
      <alignment horizontal="center" vertical="bottom"/>
    </xf>
    <xf numFmtId="0" fontId="6" borderId="39" applyNumberFormat="0" applyFont="1" applyFill="0" applyBorder="1" applyAlignment="1" applyProtection="0">
      <alignment horizontal="center" vertical="bottom"/>
    </xf>
    <xf numFmtId="49" fontId="6" fillId="8" borderId="40" applyNumberFormat="1" applyFont="1" applyFill="1" applyBorder="1" applyAlignment="1" applyProtection="0">
      <alignment horizontal="center" vertical="bottom"/>
    </xf>
    <xf numFmtId="0" fontId="4" borderId="41" applyNumberFormat="0" applyFont="1" applyFill="0" applyBorder="1" applyAlignment="1" applyProtection="0">
      <alignment vertical="bottom"/>
    </xf>
    <xf numFmtId="0" fontId="4" borderId="42" applyNumberFormat="0" applyFont="1" applyFill="0" applyBorder="1" applyAlignment="1" applyProtection="0">
      <alignment vertical="bottom"/>
    </xf>
    <xf numFmtId="0" fontId="4" borderId="43" applyNumberFormat="0" applyFont="1" applyFill="0" applyBorder="1" applyAlignment="1" applyProtection="0">
      <alignment vertical="bottom"/>
    </xf>
    <xf numFmtId="49" fontId="6" fillId="9" borderId="39" applyNumberFormat="1" applyFont="1" applyFill="1" applyBorder="1" applyAlignment="1" applyProtection="0">
      <alignment horizontal="center" vertical="bottom"/>
    </xf>
    <xf numFmtId="49" fontId="6" fillId="10" borderId="39" applyNumberFormat="1" applyFont="1" applyFill="1" applyBorder="1" applyAlignment="1" applyProtection="0">
      <alignment horizontal="center" vertical="bottom"/>
    </xf>
    <xf numFmtId="49" fontId="6" fillId="11" borderId="39" applyNumberFormat="1" applyFont="1" applyFill="1" applyBorder="1" applyAlignment="1" applyProtection="0">
      <alignment horizontal="center" vertical="bottom"/>
    </xf>
    <xf numFmtId="0" fontId="6" fillId="12" borderId="44" applyNumberFormat="0" applyFont="1" applyFill="1" applyBorder="1" applyAlignment="1" applyProtection="0">
      <alignment horizontal="center" vertical="bottom"/>
    </xf>
    <xf numFmtId="0" fontId="6" fillId="12" borderId="45" applyNumberFormat="0" applyFont="1" applyFill="1" applyBorder="1" applyAlignment="1" applyProtection="0">
      <alignment horizontal="center" vertical="bottom"/>
    </xf>
    <xf numFmtId="0" fontId="4" borderId="46" applyNumberFormat="0" applyFont="1" applyFill="0" applyBorder="1" applyAlignment="1" applyProtection="0">
      <alignment vertical="bottom"/>
    </xf>
    <xf numFmtId="0" fontId="4" borderId="47" applyNumberFormat="0" applyFont="1" applyFill="0" applyBorder="1" applyAlignment="1" applyProtection="0">
      <alignment vertical="bottom"/>
    </xf>
    <xf numFmtId="0" fontId="6" borderId="48" applyNumberFormat="0" applyFont="1" applyFill="0" applyBorder="1" applyAlignment="1" applyProtection="0">
      <alignment horizontal="center" vertical="bottom"/>
    </xf>
    <xf numFmtId="0" fontId="6" borderId="49" applyNumberFormat="0" applyFont="1" applyFill="0" applyBorder="1" applyAlignment="1" applyProtection="0">
      <alignment horizontal="center" vertical="bottom"/>
    </xf>
    <xf numFmtId="49" fontId="6" borderId="50" applyNumberFormat="1" applyFont="1" applyFill="0" applyBorder="1" applyAlignment="1" applyProtection="0">
      <alignment horizontal="center" vertical="bottom"/>
    </xf>
    <xf numFmtId="49" fontId="6" borderId="51" applyNumberFormat="1" applyFont="1" applyFill="0" applyBorder="1" applyAlignment="1" applyProtection="0">
      <alignment horizontal="center" vertical="bottom"/>
    </xf>
    <xf numFmtId="0" fontId="4" borderId="52" applyNumberFormat="0" applyFont="1" applyFill="0" applyBorder="1" applyAlignment="1" applyProtection="0">
      <alignment vertical="bottom"/>
    </xf>
    <xf numFmtId="0" fontId="4" borderId="53" applyNumberFormat="0" applyFont="1" applyFill="0" applyBorder="1" applyAlignment="1" applyProtection="0">
      <alignment vertical="bottom"/>
    </xf>
    <xf numFmtId="0" fontId="4" borderId="54" applyNumberFormat="0" applyFont="1" applyFill="0" applyBorder="1" applyAlignment="1" applyProtection="0">
      <alignment vertical="bottom"/>
    </xf>
    <xf numFmtId="0" fontId="4" borderId="55" applyNumberFormat="0" applyFont="1" applyFill="0" applyBorder="1" applyAlignment="1" applyProtection="0">
      <alignment horizontal="center" vertical="bottom"/>
    </xf>
    <xf numFmtId="49" fontId="4" borderId="39" applyNumberFormat="1" applyFont="1" applyFill="0" applyBorder="1" applyAlignment="1" applyProtection="0">
      <alignment horizontal="center" vertical="bottom"/>
    </xf>
    <xf numFmtId="0" fontId="4" fillId="8" borderId="56" applyNumberFormat="0" applyFont="1" applyFill="1" applyBorder="1" applyAlignment="1" applyProtection="0">
      <alignment horizontal="center" vertical="bottom"/>
    </xf>
    <xf numFmtId="0" fontId="4" fillId="8" borderId="57" applyNumberFormat="0" applyFont="1" applyFill="1" applyBorder="1" applyAlignment="1" applyProtection="0">
      <alignment horizontal="center" vertical="bottom"/>
    </xf>
    <xf numFmtId="0" fontId="4" fillId="8" borderId="45" applyNumberFormat="0" applyFont="1" applyFill="1" applyBorder="1" applyAlignment="1" applyProtection="0">
      <alignment horizontal="center" vertical="bottom"/>
    </xf>
    <xf numFmtId="0" fontId="4" fillId="9" borderId="44" applyNumberFormat="1" applyFont="1" applyFill="1" applyBorder="1" applyAlignment="1" applyProtection="0">
      <alignment horizontal="center" vertical="bottom"/>
    </xf>
    <xf numFmtId="0" fontId="4" fillId="9" borderId="57" applyNumberFormat="1" applyFont="1" applyFill="1" applyBorder="1" applyAlignment="1" applyProtection="0">
      <alignment horizontal="center" vertical="bottom"/>
    </xf>
    <xf numFmtId="0" fontId="4" fillId="9" borderId="45" applyNumberFormat="1" applyFont="1" applyFill="1" applyBorder="1" applyAlignment="1" applyProtection="0">
      <alignment horizontal="center" vertical="bottom"/>
    </xf>
    <xf numFmtId="0" fontId="4" fillId="9" borderId="58" applyNumberFormat="1" applyFont="1" applyFill="1" applyBorder="1" applyAlignment="1" applyProtection="0">
      <alignment horizontal="center" vertical="bottom"/>
    </xf>
    <xf numFmtId="0" fontId="4" fillId="9" borderId="39" applyNumberFormat="1" applyFont="1" applyFill="1" applyBorder="1" applyAlignment="1" applyProtection="0">
      <alignment horizontal="center" vertical="bottom"/>
    </xf>
    <xf numFmtId="0" fontId="4" fillId="9" borderId="40" applyNumberFormat="1" applyFont="1" applyFill="1" applyBorder="1" applyAlignment="1" applyProtection="0">
      <alignment horizontal="center" vertical="bottom"/>
    </xf>
    <xf numFmtId="0" fontId="4" fillId="9" borderId="59" applyNumberFormat="1" applyFont="1" applyFill="1" applyBorder="1" applyAlignment="1" applyProtection="0">
      <alignment horizontal="center" vertical="bottom"/>
    </xf>
    <xf numFmtId="0" fontId="4" fillId="12" borderId="56" applyNumberFormat="0" applyFont="1" applyFill="1" applyBorder="1" applyAlignment="1" applyProtection="0">
      <alignment horizontal="center" vertical="bottom"/>
    </xf>
    <xf numFmtId="0" fontId="4" fillId="12" borderId="45" applyNumberFormat="0" applyFont="1" applyFill="1" applyBorder="1" applyAlignment="1" applyProtection="0">
      <alignment horizontal="center" vertical="bottom"/>
    </xf>
    <xf numFmtId="0" fontId="4" borderId="60" applyNumberFormat="0" applyFont="1" applyFill="0" applyBorder="1" applyAlignment="1" applyProtection="0">
      <alignment vertical="bottom"/>
    </xf>
    <xf numFmtId="0" fontId="4" borderId="61" applyNumberFormat="0" applyFont="1" applyFill="0" applyBorder="1" applyAlignment="1" applyProtection="0">
      <alignment vertical="bottom"/>
    </xf>
    <xf numFmtId="0" fontId="4" borderId="62" applyNumberFormat="0" applyFont="1" applyFill="0" applyBorder="1" applyAlignment="1" applyProtection="0">
      <alignment horizontal="center" vertical="bottom"/>
    </xf>
    <xf numFmtId="49" fontId="4" borderId="63" applyNumberFormat="1" applyFont="1" applyFill="0" applyBorder="1" applyAlignment="1" applyProtection="0">
      <alignment horizontal="center" vertical="bottom"/>
    </xf>
    <xf numFmtId="64" fontId="4" fillId="8" borderId="64" applyNumberFormat="1" applyFont="1" applyFill="1" applyBorder="1" applyAlignment="1" applyProtection="0">
      <alignment horizontal="center" vertical="bottom"/>
    </xf>
    <xf numFmtId="64" fontId="4" fillId="8" borderId="65" applyNumberFormat="1" applyFont="1" applyFill="1" applyBorder="1" applyAlignment="1" applyProtection="0">
      <alignment horizontal="center" vertical="bottom"/>
    </xf>
    <xf numFmtId="64" fontId="4" fillId="8" borderId="66" applyNumberFormat="1" applyFont="1" applyFill="1" applyBorder="1" applyAlignment="1" applyProtection="0">
      <alignment horizontal="center" vertical="bottom"/>
    </xf>
    <xf numFmtId="64" fontId="4" fillId="9" borderId="67" applyNumberFormat="1" applyFont="1" applyFill="1" applyBorder="1" applyAlignment="1" applyProtection="0">
      <alignment horizontal="center" vertical="bottom"/>
    </xf>
    <xf numFmtId="64" fontId="4" fillId="9" borderId="65" applyNumberFormat="1" applyFont="1" applyFill="1" applyBorder="1" applyAlignment="1" applyProtection="0">
      <alignment horizontal="center" vertical="bottom"/>
    </xf>
    <xf numFmtId="64" fontId="4" fillId="9" borderId="66" applyNumberFormat="1" applyFont="1" applyFill="1" applyBorder="1" applyAlignment="1" applyProtection="0">
      <alignment horizontal="center" vertical="bottom"/>
    </xf>
    <xf numFmtId="64" fontId="4" fillId="10" borderId="67" applyNumberFormat="1" applyFont="1" applyFill="1" applyBorder="1" applyAlignment="1" applyProtection="0">
      <alignment horizontal="center" vertical="bottom"/>
    </xf>
    <xf numFmtId="64" fontId="4" fillId="10" borderId="65" applyNumberFormat="1" applyFont="1" applyFill="1" applyBorder="1" applyAlignment="1" applyProtection="0">
      <alignment horizontal="center" vertical="bottom"/>
    </xf>
    <xf numFmtId="64" fontId="4" fillId="10" borderId="66" applyNumberFormat="1" applyFont="1" applyFill="1" applyBorder="1" applyAlignment="1" applyProtection="0">
      <alignment horizontal="center" vertical="bottom"/>
    </xf>
    <xf numFmtId="64" fontId="4" fillId="11" borderId="67" applyNumberFormat="1" applyFont="1" applyFill="1" applyBorder="1" applyAlignment="1" applyProtection="0">
      <alignment horizontal="center" vertical="bottom"/>
    </xf>
    <xf numFmtId="64" fontId="4" fillId="11" borderId="65" applyNumberFormat="1" applyFont="1" applyFill="1" applyBorder="1" applyAlignment="1" applyProtection="0">
      <alignment horizontal="center" vertical="bottom"/>
    </xf>
    <xf numFmtId="64" fontId="4" fillId="11" borderId="66" applyNumberFormat="1" applyFont="1" applyFill="1" applyBorder="1" applyAlignment="1" applyProtection="0">
      <alignment horizontal="center" vertical="bottom"/>
    </xf>
    <xf numFmtId="64" fontId="4" fillId="12" borderId="67" applyNumberFormat="1" applyFont="1" applyFill="1" applyBorder="1" applyAlignment="1" applyProtection="0">
      <alignment horizontal="center" vertical="bottom"/>
    </xf>
    <xf numFmtId="65" fontId="4" fillId="12" borderId="66" applyNumberFormat="1" applyFont="1" applyFill="1" applyBorder="1" applyAlignment="1" applyProtection="0">
      <alignment horizontal="center" vertical="bottom"/>
    </xf>
    <xf numFmtId="0" fontId="4" borderId="68" applyNumberFormat="0" applyFont="1" applyFill="0" applyBorder="1" applyAlignment="1" applyProtection="0">
      <alignment vertical="bottom"/>
    </xf>
    <xf numFmtId="49" fontId="4" borderId="69" applyNumberFormat="1" applyFont="1" applyFill="0" applyBorder="1" applyAlignment="1" applyProtection="0">
      <alignment horizontal="center" vertical="bottom"/>
    </xf>
    <xf numFmtId="64" fontId="4" fillId="8" borderId="69" applyNumberFormat="1" applyFont="1" applyFill="1" applyBorder="1" applyAlignment="1" applyProtection="0">
      <alignment horizontal="center" vertical="bottom"/>
    </xf>
    <xf numFmtId="64" fontId="4" fillId="8" borderId="67" applyNumberFormat="1" applyFont="1" applyFill="1" applyBorder="1" applyAlignment="1" applyProtection="0">
      <alignment horizontal="center" vertical="bottom"/>
    </xf>
    <xf numFmtId="64" fontId="4" fillId="12" borderId="65" applyNumberFormat="1" applyFont="1" applyFill="1" applyBorder="1" applyAlignment="1" applyProtection="0">
      <alignment horizontal="center" vertical="bottom"/>
    </xf>
    <xf numFmtId="49" fontId="4" borderId="67" applyNumberFormat="1" applyFont="1" applyFill="0" applyBorder="1" applyAlignment="1" applyProtection="0">
      <alignment horizontal="center" vertical="bottom"/>
    </xf>
    <xf numFmtId="0" fontId="4" borderId="70" applyNumberFormat="0" applyFont="1" applyFill="0" applyBorder="1" applyAlignment="1" applyProtection="0">
      <alignment horizontal="center" vertical="bottom"/>
    </xf>
    <xf numFmtId="64" fontId="4" fillId="8" borderId="71" applyNumberFormat="1" applyFont="1" applyFill="1" applyBorder="1" applyAlignment="1" applyProtection="0">
      <alignment horizontal="center" vertical="bottom"/>
    </xf>
    <xf numFmtId="64" fontId="4" fillId="8" borderId="50" applyNumberFormat="1" applyFont="1" applyFill="1" applyBorder="1" applyAlignment="1" applyProtection="0">
      <alignment horizontal="center" vertical="bottom"/>
    </xf>
    <xf numFmtId="64" fontId="4" fillId="8" borderId="51" applyNumberFormat="1" applyFont="1" applyFill="1" applyBorder="1" applyAlignment="1" applyProtection="0">
      <alignment horizontal="center" vertical="bottom"/>
    </xf>
    <xf numFmtId="64" fontId="4" fillId="9" borderId="49" applyNumberFormat="1" applyFont="1" applyFill="1" applyBorder="1" applyAlignment="1" applyProtection="0">
      <alignment horizontal="center" vertical="bottom"/>
    </xf>
    <xf numFmtId="64" fontId="4" fillId="9" borderId="50" applyNumberFormat="1" applyFont="1" applyFill="1" applyBorder="1" applyAlignment="1" applyProtection="0">
      <alignment horizontal="center" vertical="bottom"/>
    </xf>
    <xf numFmtId="64" fontId="4" fillId="9" borderId="51" applyNumberFormat="1" applyFont="1" applyFill="1" applyBorder="1" applyAlignment="1" applyProtection="0">
      <alignment horizontal="center" vertical="bottom"/>
    </xf>
    <xf numFmtId="64" fontId="4" fillId="10" borderId="49" applyNumberFormat="1" applyFont="1" applyFill="1" applyBorder="1" applyAlignment="1" applyProtection="0">
      <alignment horizontal="center" vertical="bottom"/>
    </xf>
    <xf numFmtId="64" fontId="4" fillId="10" borderId="50" applyNumberFormat="1" applyFont="1" applyFill="1" applyBorder="1" applyAlignment="1" applyProtection="0">
      <alignment horizontal="center" vertical="bottom"/>
    </xf>
    <xf numFmtId="64" fontId="4" fillId="10" borderId="51" applyNumberFormat="1" applyFont="1" applyFill="1" applyBorder="1" applyAlignment="1" applyProtection="0">
      <alignment horizontal="center" vertical="bottom"/>
    </xf>
    <xf numFmtId="64" fontId="4" fillId="11" borderId="49" applyNumberFormat="1" applyFont="1" applyFill="1" applyBorder="1" applyAlignment="1" applyProtection="0">
      <alignment horizontal="center" vertical="bottom"/>
    </xf>
    <xf numFmtId="64" fontId="4" fillId="11" borderId="50" applyNumberFormat="1" applyFont="1" applyFill="1" applyBorder="1" applyAlignment="1" applyProtection="0">
      <alignment horizontal="center" vertical="bottom"/>
    </xf>
    <xf numFmtId="64" fontId="4" fillId="11" borderId="51" applyNumberFormat="1" applyFont="1" applyFill="1" applyBorder="1" applyAlignment="1" applyProtection="0">
      <alignment horizontal="center" vertical="bottom"/>
    </xf>
    <xf numFmtId="64" fontId="4" fillId="10" borderId="72" applyNumberFormat="1" applyFont="1" applyFill="1" applyBorder="1" applyAlignment="1" applyProtection="0">
      <alignment horizontal="center" vertical="bottom"/>
    </xf>
    <xf numFmtId="64" fontId="4" fillId="10" borderId="70" applyNumberFormat="1" applyFont="1" applyFill="1" applyBorder="1" applyAlignment="1" applyProtection="0">
      <alignment horizontal="center" vertical="bottom"/>
    </xf>
    <xf numFmtId="64" fontId="4" fillId="10" borderId="73" applyNumberFormat="1" applyFont="1" applyFill="1" applyBorder="1" applyAlignment="1" applyProtection="0">
      <alignment horizontal="center" vertical="bottom"/>
    </xf>
    <xf numFmtId="64" fontId="4" fillId="9" borderId="74" applyNumberFormat="1" applyFont="1" applyFill="1" applyBorder="1" applyAlignment="1" applyProtection="0">
      <alignment horizontal="center" vertical="bottom"/>
    </xf>
    <xf numFmtId="64" fontId="4" fillId="9" borderId="70" applyNumberFormat="1" applyFont="1" applyFill="1" applyBorder="1" applyAlignment="1" applyProtection="0">
      <alignment horizontal="center" vertical="bottom"/>
    </xf>
    <xf numFmtId="64" fontId="4" fillId="9" borderId="73" applyNumberFormat="1" applyFont="1" applyFill="1" applyBorder="1" applyAlignment="1" applyProtection="0">
      <alignment horizontal="center" vertical="bottom"/>
    </xf>
    <xf numFmtId="64" fontId="4" fillId="12" borderId="71" applyNumberFormat="1" applyFont="1" applyFill="1" applyBorder="1" applyAlignment="1" applyProtection="0">
      <alignment horizontal="center" vertical="bottom"/>
    </xf>
    <xf numFmtId="65" fontId="4" fillId="12" borderId="51" applyNumberFormat="1" applyFont="1" applyFill="1" applyBorder="1" applyAlignment="1" applyProtection="0">
      <alignment horizontal="center" vertical="bottom"/>
    </xf>
    <xf numFmtId="0" fontId="6" borderId="62" applyNumberFormat="0" applyFont="1" applyFill="0" applyBorder="1" applyAlignment="1" applyProtection="0">
      <alignment horizontal="center" vertical="bottom"/>
    </xf>
    <xf numFmtId="49" fontId="6" borderId="39" applyNumberFormat="1" applyFont="1" applyFill="0" applyBorder="1" applyAlignment="1" applyProtection="0">
      <alignment horizontal="center" vertical="bottom"/>
    </xf>
    <xf numFmtId="64" fontId="6" fillId="8" borderId="56" applyNumberFormat="1" applyFont="1" applyFill="1" applyBorder="1" applyAlignment="1" applyProtection="0">
      <alignment horizontal="center" vertical="bottom"/>
    </xf>
    <xf numFmtId="64" fontId="6" fillId="8" borderId="57" applyNumberFormat="1" applyFont="1" applyFill="1" applyBorder="1" applyAlignment="1" applyProtection="0">
      <alignment horizontal="center" vertical="bottom"/>
    </xf>
    <xf numFmtId="64" fontId="6" fillId="8" borderId="45" applyNumberFormat="1" applyFont="1" applyFill="1" applyBorder="1" applyAlignment="1" applyProtection="0">
      <alignment horizontal="center" vertical="bottom"/>
    </xf>
    <xf numFmtId="64" fontId="6" fillId="9" borderId="44" applyNumberFormat="1" applyFont="1" applyFill="1" applyBorder="1" applyAlignment="1" applyProtection="0">
      <alignment horizontal="center" vertical="bottom"/>
    </xf>
    <xf numFmtId="64" fontId="6" fillId="9" borderId="57" applyNumberFormat="1" applyFont="1" applyFill="1" applyBorder="1" applyAlignment="1" applyProtection="0">
      <alignment horizontal="center" vertical="bottom"/>
    </xf>
    <xf numFmtId="64" fontId="6" fillId="9" borderId="45" applyNumberFormat="1" applyFont="1" applyFill="1" applyBorder="1" applyAlignment="1" applyProtection="0">
      <alignment horizontal="center" vertical="bottom"/>
    </xf>
    <xf numFmtId="64" fontId="6" fillId="10" borderId="44" applyNumberFormat="1" applyFont="1" applyFill="1" applyBorder="1" applyAlignment="1" applyProtection="0">
      <alignment horizontal="center" vertical="bottom"/>
    </xf>
    <xf numFmtId="64" fontId="6" fillId="10" borderId="57" applyNumberFormat="1" applyFont="1" applyFill="1" applyBorder="1" applyAlignment="1" applyProtection="0">
      <alignment horizontal="center" vertical="bottom"/>
    </xf>
    <xf numFmtId="64" fontId="6" fillId="10" borderId="45" applyNumberFormat="1" applyFont="1" applyFill="1" applyBorder="1" applyAlignment="1" applyProtection="0">
      <alignment horizontal="center" vertical="bottom"/>
    </xf>
    <xf numFmtId="64" fontId="6" fillId="11" borderId="44" applyNumberFormat="1" applyFont="1" applyFill="1" applyBorder="1" applyAlignment="1" applyProtection="0">
      <alignment horizontal="center" vertical="bottom"/>
    </xf>
    <xf numFmtId="64" fontId="6" fillId="11" borderId="57" applyNumberFormat="1" applyFont="1" applyFill="1" applyBorder="1" applyAlignment="1" applyProtection="0">
      <alignment horizontal="center" vertical="bottom"/>
    </xf>
    <xf numFmtId="64" fontId="6" fillId="11" borderId="45" applyNumberFormat="1" applyFont="1" applyFill="1" applyBorder="1" applyAlignment="1" applyProtection="0">
      <alignment horizontal="center" vertical="bottom"/>
    </xf>
    <xf numFmtId="64" fontId="6" fillId="10" borderId="58" applyNumberFormat="1" applyFont="1" applyFill="1" applyBorder="1" applyAlignment="1" applyProtection="0">
      <alignment horizontal="center" vertical="bottom"/>
    </xf>
    <xf numFmtId="64" fontId="6" fillId="9" borderId="58" applyNumberFormat="1" applyFont="1" applyFill="1" applyBorder="1" applyAlignment="1" applyProtection="0">
      <alignment horizontal="center" vertical="bottom"/>
    </xf>
    <xf numFmtId="64" fontId="6" fillId="12" borderId="75" applyNumberFormat="1" applyFont="1" applyFill="1" applyBorder="1" applyAlignment="1" applyProtection="0">
      <alignment horizontal="center" vertical="bottom"/>
    </xf>
    <xf numFmtId="65" fontId="6" fillId="12" borderId="45" applyNumberFormat="1" applyFont="1" applyFill="1" applyBorder="1" applyAlignment="1" applyProtection="0">
      <alignment horizontal="center" vertical="bottom"/>
    </xf>
    <xf numFmtId="49" fontId="6" borderId="70" applyNumberFormat="1" applyFont="1" applyFill="0" applyBorder="1" applyAlignment="1" applyProtection="0">
      <alignment horizontal="center" vertical="bottom"/>
    </xf>
    <xf numFmtId="64" fontId="6" fillId="8" borderId="73" applyNumberFormat="1" applyFont="1" applyFill="1" applyBorder="1" applyAlignment="1" applyProtection="0">
      <alignment horizontal="center" vertical="bottom"/>
    </xf>
    <xf numFmtId="0" fontId="4" borderId="76" applyNumberFormat="0" applyFont="1" applyFill="0" applyBorder="1" applyAlignment="1" applyProtection="0">
      <alignment vertical="bottom"/>
    </xf>
    <xf numFmtId="0" fontId="4" borderId="77" applyNumberFormat="0" applyFont="1" applyFill="0" applyBorder="1" applyAlignment="1" applyProtection="0">
      <alignment vertical="bottom"/>
    </xf>
    <xf numFmtId="0" fontId="4" borderId="78" applyNumberFormat="0" applyFont="1" applyFill="0" applyBorder="1" applyAlignment="1" applyProtection="0">
      <alignment vertical="bottom"/>
    </xf>
    <xf numFmtId="64" fontId="6" fillId="9" borderId="70" applyNumberFormat="1" applyFont="1" applyFill="1" applyBorder="1" applyAlignment="1" applyProtection="0">
      <alignment horizontal="center" vertical="bottom"/>
    </xf>
    <xf numFmtId="64" fontId="6" fillId="10" borderId="70" applyNumberFormat="1" applyFont="1" applyFill="1" applyBorder="1" applyAlignment="1" applyProtection="0">
      <alignment horizontal="center" vertical="bottom"/>
    </xf>
    <xf numFmtId="64" fontId="6" fillId="11" borderId="70" applyNumberFormat="1" applyFont="1" applyFill="1" applyBorder="1" applyAlignment="1" applyProtection="0">
      <alignment horizontal="center" vertical="bottom"/>
    </xf>
    <xf numFmtId="65" fontId="6" fillId="12" borderId="51" applyNumberFormat="1" applyFont="1" applyFill="1" applyBorder="1" applyAlignment="1" applyProtection="0">
      <alignment horizontal="center" vertical="bottom"/>
    </xf>
    <xf numFmtId="49" fontId="4" borderId="79" applyNumberFormat="1" applyFont="1" applyFill="0" applyBorder="1" applyAlignment="1" applyProtection="0">
      <alignment horizontal="center" vertical="bottom"/>
    </xf>
    <xf numFmtId="65" fontId="4" fillId="8" borderId="80" applyNumberFormat="1" applyFont="1" applyFill="1" applyBorder="1" applyAlignment="1" applyProtection="0">
      <alignment horizontal="center" vertical="bottom"/>
    </xf>
    <xf numFmtId="65" fontId="4" fillId="8" borderId="81" applyNumberFormat="1" applyFont="1" applyFill="1" applyBorder="1" applyAlignment="1" applyProtection="0">
      <alignment horizontal="center" vertical="bottom"/>
    </xf>
    <xf numFmtId="65" fontId="4" fillId="8" borderId="82" applyNumberFormat="1" applyFont="1" applyFill="1" applyBorder="1" applyAlignment="1" applyProtection="0">
      <alignment horizontal="center" vertical="bottom"/>
    </xf>
    <xf numFmtId="65" fontId="4" fillId="9" borderId="75" applyNumberFormat="1" applyFont="1" applyFill="1" applyBorder="1" applyAlignment="1" applyProtection="0">
      <alignment horizontal="center" vertical="bottom"/>
    </xf>
    <xf numFmtId="65" fontId="4" fillId="9" borderId="81" applyNumberFormat="1" applyFont="1" applyFill="1" applyBorder="1" applyAlignment="1" applyProtection="0">
      <alignment horizontal="center" vertical="bottom"/>
    </xf>
    <xf numFmtId="65" fontId="4" fillId="9" borderId="82" applyNumberFormat="1" applyFont="1" applyFill="1" applyBorder="1" applyAlignment="1" applyProtection="0">
      <alignment horizontal="center" vertical="bottom"/>
    </xf>
    <xf numFmtId="65" fontId="4" fillId="10" borderId="75" applyNumberFormat="1" applyFont="1" applyFill="1" applyBorder="1" applyAlignment="1" applyProtection="0">
      <alignment horizontal="center" vertical="bottom"/>
    </xf>
    <xf numFmtId="65" fontId="4" fillId="10" borderId="81" applyNumberFormat="1" applyFont="1" applyFill="1" applyBorder="1" applyAlignment="1" applyProtection="0">
      <alignment horizontal="center" vertical="bottom"/>
    </xf>
    <xf numFmtId="65" fontId="4" fillId="10" borderId="82" applyNumberFormat="1" applyFont="1" applyFill="1" applyBorder="1" applyAlignment="1" applyProtection="0">
      <alignment horizontal="center" vertical="bottom"/>
    </xf>
    <xf numFmtId="65" fontId="4" fillId="11" borderId="75" applyNumberFormat="1" applyFont="1" applyFill="1" applyBorder="1" applyAlignment="1" applyProtection="0">
      <alignment horizontal="center" vertical="bottom"/>
    </xf>
    <xf numFmtId="65" fontId="4" fillId="11" borderId="81" applyNumberFormat="1" applyFont="1" applyFill="1" applyBorder="1" applyAlignment="1" applyProtection="0">
      <alignment horizontal="center" vertical="bottom"/>
    </xf>
    <xf numFmtId="65" fontId="4" fillId="11" borderId="82" applyNumberFormat="1" applyFont="1" applyFill="1" applyBorder="1" applyAlignment="1" applyProtection="0">
      <alignment horizontal="center" vertical="bottom"/>
    </xf>
    <xf numFmtId="65" fontId="4" fillId="10" borderId="83" applyNumberFormat="1" applyFont="1" applyFill="1" applyBorder="1" applyAlignment="1" applyProtection="0">
      <alignment horizontal="center" vertical="bottom"/>
    </xf>
    <xf numFmtId="65" fontId="4" fillId="9" borderId="83" applyNumberFormat="1" applyFont="1" applyFill="1" applyBorder="1" applyAlignment="1" applyProtection="0">
      <alignment horizontal="center" vertical="bottom"/>
    </xf>
    <xf numFmtId="0" fontId="4" fillId="12" borderId="75" applyNumberFormat="0" applyFont="1" applyFill="1" applyBorder="1" applyAlignment="1" applyProtection="0">
      <alignment horizontal="center" vertical="bottom"/>
    </xf>
    <xf numFmtId="0" fontId="4" fillId="12" borderId="82" applyNumberFormat="0" applyFont="1" applyFill="1" applyBorder="1" applyAlignment="1" applyProtection="0">
      <alignment horizontal="center" vertical="bottom"/>
    </xf>
    <xf numFmtId="0" fontId="4" borderId="84" applyNumberFormat="0" applyFont="1" applyFill="0" applyBorder="1" applyAlignment="1" applyProtection="0">
      <alignment horizontal="center" vertical="bottom"/>
    </xf>
    <xf numFmtId="0" fontId="4" borderId="85" applyNumberFormat="0" applyFont="1" applyFill="0" applyBorder="1" applyAlignment="1" applyProtection="0">
      <alignment horizontal="center" vertical="bottom"/>
    </xf>
    <xf numFmtId="0" fontId="4" fillId="8" borderId="86" applyNumberFormat="0" applyFont="1" applyFill="1" applyBorder="1" applyAlignment="1" applyProtection="0">
      <alignment horizontal="center" vertical="bottom"/>
    </xf>
    <xf numFmtId="0" fontId="4" fillId="9" borderId="86" applyNumberFormat="0" applyFont="1" applyFill="1" applyBorder="1" applyAlignment="1" applyProtection="0">
      <alignment horizontal="center" vertical="bottom"/>
    </xf>
    <xf numFmtId="0" fontId="4" fillId="10" borderId="86" applyNumberFormat="0" applyFont="1" applyFill="1" applyBorder="1" applyAlignment="1" applyProtection="0">
      <alignment horizontal="center" vertical="bottom"/>
    </xf>
    <xf numFmtId="0" fontId="4" fillId="11" borderId="86" applyNumberFormat="0" applyFont="1" applyFill="1" applyBorder="1" applyAlignment="1" applyProtection="0">
      <alignment horizontal="center" vertical="bottom"/>
    </xf>
    <xf numFmtId="0" fontId="4" fillId="12" borderId="87" applyNumberFormat="0" applyFont="1" applyFill="1" applyBorder="1" applyAlignment="1" applyProtection="0">
      <alignment horizontal="center" vertical="bottom"/>
    </xf>
    <xf numFmtId="0" fontId="4" fillId="12" borderId="80" applyNumberFormat="0" applyFont="1" applyFill="1" applyBorder="1" applyAlignment="1" applyProtection="0">
      <alignment horizontal="center" vertical="bottom"/>
    </xf>
    <xf numFmtId="0" fontId="4" borderId="88" applyNumberFormat="0" applyFont="1" applyFill="0" applyBorder="1" applyAlignment="1" applyProtection="0">
      <alignment vertical="bottom"/>
    </xf>
    <xf numFmtId="0" fontId="4" borderId="89" applyNumberFormat="0" applyFont="1" applyFill="0" applyBorder="1" applyAlignment="1" applyProtection="0">
      <alignment horizontal="center" vertical="bottom"/>
    </xf>
    <xf numFmtId="49" fontId="4" borderId="90" applyNumberFormat="1" applyFont="1" applyFill="0" applyBorder="1" applyAlignment="1" applyProtection="0">
      <alignment horizontal="center" vertical="bottom"/>
    </xf>
    <xf numFmtId="65" fontId="4" fillId="8" borderId="91" applyNumberFormat="1" applyFont="1" applyFill="1" applyBorder="1" applyAlignment="1" applyProtection="0">
      <alignment horizontal="center" vertical="bottom"/>
    </xf>
    <xf numFmtId="65" fontId="4" fillId="9" borderId="91" applyNumberFormat="1" applyFont="1" applyFill="1" applyBorder="1" applyAlignment="1" applyProtection="0">
      <alignment horizontal="center" vertical="bottom"/>
    </xf>
    <xf numFmtId="65" fontId="4" fillId="10" borderId="91" applyNumberFormat="1" applyFont="1" applyFill="1" applyBorder="1" applyAlignment="1" applyProtection="0">
      <alignment horizontal="center" vertical="bottom"/>
    </xf>
    <xf numFmtId="65" fontId="4" fillId="11" borderId="91" applyNumberFormat="1" applyFont="1" applyFill="1" applyBorder="1" applyAlignment="1" applyProtection="0">
      <alignment horizontal="center" vertical="bottom"/>
    </xf>
    <xf numFmtId="49" fontId="4" fillId="12" borderId="81" applyNumberFormat="1" applyFont="1" applyFill="1" applyBorder="1" applyAlignment="1" applyProtection="0">
      <alignment horizontal="center" vertical="bottom"/>
    </xf>
    <xf numFmtId="66" fontId="4" fillId="12" borderId="82" applyNumberFormat="1" applyFont="1" applyFill="1" applyBorder="1" applyAlignment="1" applyProtection="0">
      <alignment horizontal="center" vertical="bottom"/>
    </xf>
    <xf numFmtId="0" fontId="4" borderId="92" applyNumberFormat="0" applyFont="1" applyFill="0" applyBorder="1" applyAlignment="1" applyProtection="0">
      <alignment vertical="bottom"/>
    </xf>
    <xf numFmtId="0" fontId="4" borderId="93" applyNumberFormat="0" applyFont="1" applyFill="0" applyBorder="1" applyAlignment="1" applyProtection="0">
      <alignment vertical="bottom"/>
    </xf>
    <xf numFmtId="49" fontId="4" borderId="29" applyNumberFormat="1" applyFont="1" applyFill="0" applyBorder="1" applyAlignment="1" applyProtection="0">
      <alignment vertical="bottom"/>
    </xf>
    <xf numFmtId="0" fontId="4" borderId="29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top" wrapText="1"/>
    </xf>
    <xf numFmtId="49" fontId="7" fillId="13" borderId="94" applyNumberFormat="1" applyFont="1" applyFill="1" applyBorder="1" applyAlignment="1" applyProtection="0">
      <alignment vertical="top" wrapText="1"/>
    </xf>
    <xf numFmtId="49" fontId="7" fillId="13" borderId="95" applyNumberFormat="1" applyFont="1" applyFill="1" applyBorder="1" applyAlignment="1" applyProtection="0">
      <alignment vertical="top" wrapText="1"/>
    </xf>
    <xf numFmtId="49" fontId="7" fillId="13" borderId="96" applyNumberFormat="1" applyFont="1" applyFill="1" applyBorder="1" applyAlignment="1" applyProtection="0">
      <alignment horizontal="right" vertical="top" wrapText="1"/>
    </xf>
    <xf numFmtId="49" fontId="4" borderId="97" applyNumberFormat="1" applyFont="1" applyFill="0" applyBorder="1" applyAlignment="1" applyProtection="0">
      <alignment horizontal="right" vertical="center" wrapText="1"/>
    </xf>
    <xf numFmtId="49" fontId="4" borderId="97" applyNumberFormat="1" applyFont="1" applyFill="0" applyBorder="1" applyAlignment="1" applyProtection="0">
      <alignment horizontal="left" vertical="center" wrapText="1"/>
    </xf>
    <xf numFmtId="49" fontId="0" borderId="97" applyNumberFormat="1" applyFont="1" applyFill="0" applyBorder="1" applyAlignment="1" applyProtection="0">
      <alignment vertical="top" wrapText="1"/>
    </xf>
    <xf numFmtId="0" fontId="4" borderId="97" applyNumberFormat="1" applyFont="1" applyFill="0" applyBorder="1" applyAlignment="1" applyProtection="0">
      <alignment horizontal="right" vertical="center" wrapText="1"/>
    </xf>
    <xf numFmtId="49" fontId="4" fillId="14" borderId="98" applyNumberFormat="1" applyFont="1" applyFill="1" applyBorder="1" applyAlignment="1" applyProtection="0">
      <alignment horizontal="right" vertical="center" wrapText="1"/>
    </xf>
    <xf numFmtId="49" fontId="4" fillId="14" borderId="98" applyNumberFormat="1" applyFont="1" applyFill="1" applyBorder="1" applyAlignment="1" applyProtection="0">
      <alignment horizontal="left" vertical="center" wrapText="1"/>
    </xf>
    <xf numFmtId="49" fontId="0" fillId="14" borderId="98" applyNumberFormat="1" applyFont="1" applyFill="1" applyBorder="1" applyAlignment="1" applyProtection="0">
      <alignment vertical="top" wrapText="1"/>
    </xf>
    <xf numFmtId="0" fontId="4" fillId="14" borderId="98" applyNumberFormat="1" applyFont="1" applyFill="1" applyBorder="1" applyAlignment="1" applyProtection="0">
      <alignment horizontal="right" vertical="center" wrapText="1"/>
    </xf>
    <xf numFmtId="49" fontId="4" borderId="98" applyNumberFormat="1" applyFont="1" applyFill="0" applyBorder="1" applyAlignment="1" applyProtection="0">
      <alignment horizontal="right" vertical="center" wrapText="1"/>
    </xf>
    <xf numFmtId="49" fontId="4" borderId="98" applyNumberFormat="1" applyFont="1" applyFill="0" applyBorder="1" applyAlignment="1" applyProtection="0">
      <alignment horizontal="left" vertical="center" wrapText="1"/>
    </xf>
    <xf numFmtId="49" fontId="0" borderId="98" applyNumberFormat="1" applyFont="1" applyFill="0" applyBorder="1" applyAlignment="1" applyProtection="0">
      <alignment vertical="top" wrapText="1"/>
    </xf>
    <xf numFmtId="0" fontId="4" borderId="98" applyNumberFormat="1" applyFont="1" applyFill="0" applyBorder="1" applyAlignment="1" applyProtection="0">
      <alignment horizontal="right" vertical="center" wrapText="1"/>
    </xf>
    <xf numFmtId="67" fontId="0" fillId="14" borderId="98" applyNumberFormat="1" applyFont="1" applyFill="1" applyBorder="1" applyAlignment="1" applyProtection="0">
      <alignment horizontal="left" vertical="top" wrapText="1"/>
    </xf>
    <xf numFmtId="60" fontId="0" fillId="14" borderId="98" applyNumberFormat="1" applyFont="1" applyFill="1" applyBorder="1" applyAlignment="1" applyProtection="0">
      <alignment vertical="top" wrapText="1"/>
    </xf>
    <xf numFmtId="67" fontId="0" borderId="98" applyNumberFormat="1" applyFont="1" applyFill="0" applyBorder="1" applyAlignment="1" applyProtection="0">
      <alignment horizontal="left" vertical="top" wrapText="1"/>
    </xf>
    <xf numFmtId="60" fontId="0" borderId="98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13" borderId="96" applyNumberFormat="1" applyFont="1" applyFill="1" applyBorder="1" applyAlignment="1" applyProtection="0">
      <alignment vertical="top" wrapText="1"/>
    </xf>
    <xf numFmtId="49" fontId="8" borderId="99" applyNumberFormat="1" applyFont="1" applyFill="0" applyBorder="1" applyAlignment="1" applyProtection="0">
      <alignment vertical="top" wrapText="1"/>
    </xf>
    <xf numFmtId="60" fontId="0" fillId="15" borderId="100" applyNumberFormat="1" applyFont="1" applyFill="1" applyBorder="1" applyAlignment="1" applyProtection="0">
      <alignment vertical="top" wrapText="1"/>
    </xf>
    <xf numFmtId="60" fontId="0" borderId="97" applyNumberFormat="1" applyFont="1" applyFill="0" applyBorder="1" applyAlignment="1" applyProtection="0">
      <alignment vertical="top" wrapText="1"/>
    </xf>
    <xf numFmtId="49" fontId="8" borderId="101" applyNumberFormat="1" applyFont="1" applyFill="0" applyBorder="1" applyAlignment="1" applyProtection="0">
      <alignment vertical="top" wrapText="1"/>
    </xf>
    <xf numFmtId="60" fontId="0" fillId="15" borderId="102" applyNumberFormat="1" applyFont="1" applyFill="1" applyBorder="1" applyAlignment="1" applyProtection="0">
      <alignment vertical="top" wrapText="1"/>
    </xf>
    <xf numFmtId="49" fontId="8" borderId="103" applyNumberFormat="1" applyFont="1" applyFill="0" applyBorder="1" applyAlignment="1" applyProtection="0">
      <alignment vertical="top" wrapText="1"/>
    </xf>
    <xf numFmtId="60" fontId="0" fillId="15" borderId="104" applyNumberFormat="1" applyFont="1" applyFill="1" applyBorder="1" applyAlignment="1" applyProtection="0">
      <alignment vertical="top" wrapText="1"/>
    </xf>
    <xf numFmtId="60" fontId="0" borderId="105" applyNumberFormat="1" applyFont="1" applyFill="0" applyBorder="1" applyAlignment="1" applyProtection="0">
      <alignment vertical="top" wrapText="1"/>
    </xf>
    <xf numFmtId="49" fontId="2" fillId="16" borderId="97" applyNumberFormat="1" applyFont="1" applyFill="1" applyBorder="1" applyAlignment="1" applyProtection="0">
      <alignment vertical="top" wrapText="1"/>
    </xf>
    <xf numFmtId="60" fontId="2" fillId="16" borderId="9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0" fillId="14" borderId="10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8" fontId="4" borderId="97" applyNumberFormat="1" applyFont="1" applyFill="0" applyBorder="1" applyAlignment="1" applyProtection="0">
      <alignment horizontal="right" vertical="center" wrapText="1"/>
    </xf>
    <xf numFmtId="61" fontId="4" borderId="97" applyNumberFormat="1" applyFont="1" applyFill="0" applyBorder="1" applyAlignment="1" applyProtection="0">
      <alignment horizontal="right" vertical="center" wrapText="1"/>
    </xf>
    <xf numFmtId="68" fontId="4" fillId="14" borderId="98" applyNumberFormat="1" applyFont="1" applyFill="1" applyBorder="1" applyAlignment="1" applyProtection="0">
      <alignment horizontal="right" vertical="center" wrapText="1"/>
    </xf>
    <xf numFmtId="61" fontId="4" fillId="14" borderId="98" applyNumberFormat="1" applyFont="1" applyFill="1" applyBorder="1" applyAlignment="1" applyProtection="0">
      <alignment horizontal="right" vertical="center" wrapText="1"/>
    </xf>
    <xf numFmtId="68" fontId="4" borderId="98" applyNumberFormat="1" applyFont="1" applyFill="0" applyBorder="1" applyAlignment="1" applyProtection="0">
      <alignment horizontal="right" vertical="center" wrapText="1"/>
    </xf>
    <xf numFmtId="61" fontId="4" borderId="98" applyNumberFormat="1" applyFont="1" applyFill="0" applyBorder="1" applyAlignment="1" applyProtection="0">
      <alignment horizontal="right" vertical="center" wrapText="1"/>
    </xf>
    <xf numFmtId="0" fontId="0" borderId="98" applyNumberFormat="1" applyFont="1" applyFill="0" applyBorder="1" applyAlignment="1" applyProtection="0">
      <alignment vertical="top" wrapText="1"/>
    </xf>
    <xf numFmtId="0" fontId="0" fillId="14" borderId="98" applyNumberFormat="1" applyFont="1" applyFill="1" applyBorder="1" applyAlignment="1" applyProtection="0">
      <alignment vertical="top" wrapText="1"/>
    </xf>
    <xf numFmtId="0" fontId="0" borderId="98" applyNumberFormat="0" applyFont="1" applyFill="0" applyBorder="1" applyAlignment="1" applyProtection="0">
      <alignment vertical="top" wrapText="1"/>
    </xf>
    <xf numFmtId="0" fontId="0" fillId="14" borderId="98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9" fontId="4" borderId="97" applyNumberFormat="1" applyFont="1" applyFill="0" applyBorder="1" applyAlignment="1" applyProtection="0">
      <alignment horizontal="right" vertical="center" wrapText="1"/>
    </xf>
    <xf numFmtId="0" fontId="4" borderId="97" applyNumberFormat="1" applyFont="1" applyFill="0" applyBorder="1" applyAlignment="1" applyProtection="0">
      <alignment vertical="center" wrapText="1"/>
    </xf>
    <xf numFmtId="69" fontId="4" fillId="14" borderId="98" applyNumberFormat="1" applyFont="1" applyFill="1" applyBorder="1" applyAlignment="1" applyProtection="0">
      <alignment horizontal="right" vertical="center" wrapText="1"/>
    </xf>
    <xf numFmtId="0" fontId="4" fillId="14" borderId="98" applyNumberFormat="1" applyFont="1" applyFill="1" applyBorder="1" applyAlignment="1" applyProtection="0">
      <alignment vertical="center" wrapText="1"/>
    </xf>
    <xf numFmtId="4" fontId="4" fillId="14" borderId="98" applyNumberFormat="1" applyFont="1" applyFill="1" applyBorder="1" applyAlignment="1" applyProtection="0">
      <alignment vertical="center" wrapText="1"/>
    </xf>
    <xf numFmtId="67" fontId="4" fillId="14" borderId="98" applyNumberFormat="1" applyFont="1" applyFill="1" applyBorder="1" applyAlignment="1" applyProtection="0">
      <alignment horizontal="right" vertical="center" wrapText="1"/>
    </xf>
    <xf numFmtId="0" fontId="4" borderId="98" applyNumberFormat="1" applyFont="1" applyFill="0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13" borderId="95" applyNumberFormat="1" applyFont="1" applyFill="1" applyBorder="1" applyAlignment="1" applyProtection="0">
      <alignment horizontal="right" vertical="top" wrapText="1"/>
    </xf>
    <xf numFmtId="67" fontId="4" borderId="97" applyNumberFormat="1" applyFont="1" applyFill="0" applyBorder="1" applyAlignment="1" applyProtection="0">
      <alignment horizontal="right" vertical="center" wrapText="1"/>
    </xf>
    <xf numFmtId="61" fontId="4" fillId="14" borderId="98" applyNumberFormat="1" applyFont="1" applyFill="1" applyBorder="1" applyAlignment="1" applyProtection="0">
      <alignment vertical="center" wrapText="1"/>
    </xf>
    <xf numFmtId="70" fontId="4" fillId="14" borderId="98" applyNumberFormat="1" applyFont="1" applyFill="1" applyBorder="1" applyAlignment="1" applyProtection="0">
      <alignment vertical="center" wrapText="1"/>
    </xf>
    <xf numFmtId="49" fontId="4" fillId="14" borderId="98" applyNumberFormat="1" applyFont="1" applyFill="1" applyBorder="1" applyAlignment="1" applyProtection="0">
      <alignment vertical="center" wrapText="1"/>
    </xf>
    <xf numFmtId="67" fontId="4" borderId="98" applyNumberFormat="1" applyFont="1" applyFill="0" applyBorder="1" applyAlignment="1" applyProtection="0">
      <alignment horizontal="right" vertical="center" wrapText="1"/>
    </xf>
    <xf numFmtId="61" fontId="4" borderId="98" applyNumberFormat="1" applyFont="1" applyFill="0" applyBorder="1" applyAlignment="1" applyProtection="0">
      <alignment vertical="center" wrapText="1"/>
    </xf>
    <xf numFmtId="70" fontId="4" borderId="98" applyNumberFormat="1" applyFont="1" applyFill="0" applyBorder="1" applyAlignment="1" applyProtection="0">
      <alignment vertical="center" wrapText="1"/>
    </xf>
    <xf numFmtId="49" fontId="4" borderId="98" applyNumberFormat="1" applyFont="1" applyFill="0" applyBorder="1" applyAlignment="1" applyProtection="0">
      <alignment vertical="center" wrapText="1"/>
    </xf>
    <xf numFmtId="71" fontId="4" fillId="14" borderId="98" applyNumberFormat="1" applyFont="1" applyFill="1" applyBorder="1" applyAlignment="1" applyProtection="0">
      <alignment vertical="center" wrapText="1"/>
    </xf>
    <xf numFmtId="0" fontId="4" fillId="14" borderId="98" applyNumberFormat="0" applyFont="1" applyFill="1" applyBorder="1" applyAlignment="1" applyProtection="0">
      <alignment vertical="center" wrapText="1"/>
    </xf>
    <xf numFmtId="0" fontId="4" borderId="98" applyNumberFormat="0" applyFont="1" applyFill="0" applyBorder="1" applyAlignment="1" applyProtection="0">
      <alignment vertical="center" wrapText="1"/>
    </xf>
    <xf numFmtId="67" fontId="0" borderId="98" applyNumberFormat="1" applyFont="1" applyFill="0" applyBorder="1" applyAlignment="1" applyProtection="0">
      <alignment vertical="top" wrapText="1"/>
    </xf>
    <xf numFmtId="67" fontId="0" fillId="14" borderId="98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7" fontId="0" borderId="97" applyNumberFormat="1" applyFont="1" applyFill="0" applyBorder="1" applyAlignment="1" applyProtection="0">
      <alignment vertical="top" wrapText="1"/>
    </xf>
    <xf numFmtId="61" fontId="4" borderId="97" applyNumberFormat="1" applyFont="1" applyFill="0" applyBorder="1" applyAlignment="1" applyProtection="0">
      <alignment vertical="center" wrapText="1"/>
    </xf>
    <xf numFmtId="70" fontId="4" borderId="97" applyNumberFormat="1" applyFont="1" applyFill="0" applyBorder="1" applyAlignment="1" applyProtection="0">
      <alignment vertical="center" wrapText="1"/>
    </xf>
    <xf numFmtId="0" fontId="0" borderId="97" applyNumberFormat="1" applyFont="1" applyFill="0" applyBorder="1" applyAlignment="1" applyProtection="0">
      <alignment vertical="top" wrapText="1"/>
    </xf>
    <xf numFmtId="49" fontId="4" borderId="97" applyNumberFormat="1" applyFont="1" applyFill="0" applyBorder="1" applyAlignment="1" applyProtection="0">
      <alignment vertical="center" wrapText="1"/>
    </xf>
    <xf numFmtId="68" fontId="0" borderId="98" applyNumberFormat="1" applyFont="1" applyFill="0" applyBorder="1" applyAlignment="1" applyProtection="0">
      <alignment vertical="top" wrapText="1"/>
    </xf>
    <xf numFmtId="61" fontId="0" borderId="98" applyNumberFormat="1" applyFont="1" applyFill="0" applyBorder="1" applyAlignment="1" applyProtection="0">
      <alignment vertical="top" wrapText="1"/>
    </xf>
    <xf numFmtId="68" fontId="0" fillId="14" borderId="98" applyNumberFormat="1" applyFont="1" applyFill="1" applyBorder="1" applyAlignment="1" applyProtection="0">
      <alignment vertical="top" wrapText="1"/>
    </xf>
    <xf numFmtId="61" fontId="0" fillId="14" borderId="98" applyNumberFormat="1" applyFont="1" applyFill="1" applyBorder="1" applyAlignment="1" applyProtection="0">
      <alignment vertical="top" wrapText="1"/>
    </xf>
    <xf numFmtId="2" fontId="4" borderId="98" applyNumberFormat="1" applyFont="1" applyFill="0" applyBorder="1" applyAlignment="1" applyProtection="0">
      <alignment vertical="center" wrapText="1"/>
    </xf>
    <xf numFmtId="2" fontId="4" fillId="14" borderId="98" applyNumberFormat="1" applyFont="1" applyFill="1" applyBorder="1" applyAlignment="1" applyProtection="0">
      <alignment vertical="center" wrapText="1"/>
    </xf>
    <xf numFmtId="0" fontId="4" borderId="98" applyNumberFormat="0" applyFont="1" applyFill="0" applyBorder="1" applyAlignment="1" applyProtection="0">
      <alignment horizontal="left" vertical="center" wrapText="1"/>
    </xf>
    <xf numFmtId="0" fontId="4" fillId="14" borderId="98" applyNumberFormat="0" applyFont="1" applyFill="1" applyBorder="1" applyAlignment="1" applyProtection="0">
      <alignment horizontal="left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8" fontId="0" borderId="9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1" fontId="0" borderId="97" applyNumberFormat="1" applyFont="1" applyFill="0" applyBorder="1" applyAlignment="1" applyProtection="0">
      <alignment vertical="top" wrapText="1"/>
    </xf>
    <xf numFmtId="68" fontId="0" fillId="17" borderId="98" applyNumberFormat="1" applyFont="1" applyFill="1" applyBorder="1" applyAlignment="1" applyProtection="0">
      <alignment vertical="bottom" wrapText="1"/>
    </xf>
    <xf numFmtId="49" fontId="0" fillId="17" borderId="98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4" borderId="97" applyNumberFormat="0" applyFont="1" applyFill="0" applyBorder="1" applyAlignment="1" applyProtection="0">
      <alignment horizontal="right" vertical="center" wrapText="1"/>
    </xf>
    <xf numFmtId="0" fontId="4" borderId="97" applyNumberFormat="0" applyFont="1" applyFill="0" applyBorder="1" applyAlignment="1" applyProtection="0">
      <alignment horizontal="left" vertical="center" wrapText="1"/>
    </xf>
    <xf numFmtId="0" fontId="4" fillId="14" borderId="98" applyNumberFormat="0" applyFont="1" applyFill="1" applyBorder="1" applyAlignment="1" applyProtection="0">
      <alignment horizontal="right" vertical="center" wrapText="1"/>
    </xf>
    <xf numFmtId="0" fontId="4" borderId="98" applyNumberFormat="0" applyFont="1" applyFill="0" applyBorder="1" applyAlignment="1" applyProtection="0">
      <alignment horizontal="right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fff9c3"/>
      <rgbColor rgb="ffffd478"/>
      <rgbColor rgb="fffff0cf"/>
      <rgbColor rgb="ff3f3f3f"/>
      <rgbColor rgb="ffdbdbdb"/>
      <rgbColor rgb="ffffedc7"/>
      <rgbColor rgb="ffffe9bb"/>
      <rgbColor rgb="fffefffe"/>
      <rgbColor rgb="ffb8b8b8"/>
      <rgbColor rgb="47e30000"/>
      <rgbColor rgb="4d0f8e07"/>
      <rgbColor rgb="ffe30000"/>
      <rgbColor rgb="ff0f8e07"/>
      <rgbColor rgb="fffff056"/>
      <rgbColor rgb="ffaaaaaa"/>
      <rgbColor rgb="ffff9900"/>
      <rgbColor rgb="fffff2cc"/>
      <rgbColor rgb="fffce5cd"/>
      <rgbColor rgb="fff4cccc"/>
      <rgbColor rgb="ffe6b8af"/>
      <rgbColor rgb="ffd9ead3"/>
      <rgbColor rgb="ff0000ff"/>
      <rgbColor rgb="ff00a2ff"/>
      <rgbColor rgb="ffc8c8c8"/>
      <rgbColor rgb="ff89847f"/>
      <rgbColor rgb="fff7f7f6"/>
      <rgbColor rgb="fffffae6"/>
      <rgbColor rgb="ffececea"/>
      <rgbColor rgb="ff0432ff"/>
      <rgbColor rgb="ff009192"/>
      <rgbColor rgb="fffe2500"/>
      <rgbColor rgb="fff4c443"/>
      <rgbColor rgb="ff3e8334"/>
      <rgbColor rgb="ffff2f92"/>
      <rgbColor rgb="ffffa122"/>
      <rgbColor rgb="ff004c7f"/>
      <rgbColor rgb="ff919191"/>
      <rgbColor rgb="fff8ba00"/>
      <rgbColor rgb="ff22aeff"/>
      <rgbColor rgb="ff73dd4d"/>
      <rgbColor rgb="ffa0a0a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21644"/>
          <c:y val="0.12368"/>
          <c:w val="0.922836"/>
          <c:h val="0.8103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'Yearly'!$C$4:$C$5</c:f>
              <c:strCache>
                <c:ptCount val="1"/>
                <c:pt idx="0">
                  <c:v>Forecasted Expenses</c:v>
                </c:pt>
              </c:strCache>
            </c:strRef>
          </c:tx>
          <c:spPr>
            <a:solidFill>
              <a:srgbClr val="E30000">
                <a:alpha val="27951"/>
              </a:srgb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'Yearly'!$B$6:$B$17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'Yearly'!$C$6:$C$17</c:f>
              <c:numCache>
                <c:ptCount val="12"/>
                <c:pt idx="0">
                  <c:v>912.470000</c:v>
                </c:pt>
                <c:pt idx="1">
                  <c:v>138.880000</c:v>
                </c:pt>
                <c:pt idx="2">
                  <c:v>1690.590000</c:v>
                </c:pt>
                <c:pt idx="3">
                  <c:v>2963.779196</c:v>
                </c:pt>
                <c:pt idx="4">
                  <c:v>2573.480000</c:v>
                </c:pt>
                <c:pt idx="5">
                  <c:v>1873.480000</c:v>
                </c:pt>
                <c:pt idx="6">
                  <c:v>2069.230000</c:v>
                </c:pt>
                <c:pt idx="7">
                  <c:v>1873.480000</c:v>
                </c:pt>
                <c:pt idx="8">
                  <c:v>1847.380000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'Yearly'!$D$4:$D$5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0F8E07">
                <a:alpha val="30339"/>
              </a:srgb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'Yearly'!$B$6:$B$17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'Yearly'!$D$6:$D$17</c:f>
              <c:numCache>
                <c:ptCount val="12"/>
                <c:pt idx="0">
                  <c:v>597.000000</c:v>
                </c:pt>
                <c:pt idx="1">
                  <c:v>8300.000000</c:v>
                </c:pt>
                <c:pt idx="2">
                  <c:v>4500.000000</c:v>
                </c:pt>
                <c:pt idx="3">
                  <c:v>2108.000000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2"/>
          <c:order val="2"/>
          <c:tx>
            <c:strRef>
              <c:f>'Yearly'!$E$4:$E$5</c:f>
              <c:strCache>
                <c:ptCount val="1"/>
                <c:pt idx="0">
                  <c:v>Actual Expenses</c:v>
                </c:pt>
              </c:strCache>
            </c:strRef>
          </c:tx>
          <c:spPr>
            <a:solidFill>
              <a:srgbClr val="E300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'Yearly'!$B$6:$B$17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'Yearly'!$E$6:$E$17</c:f>
              <c:numCache>
                <c:ptCount val="12"/>
                <c:pt idx="0">
                  <c:v>912.470000</c:v>
                </c:pt>
                <c:pt idx="1">
                  <c:v>138.880000</c:v>
                </c:pt>
                <c:pt idx="2">
                  <c:v>1690.590000</c:v>
                </c:pt>
                <c:pt idx="3">
                  <c:v>2963.950819</c:v>
                </c:pt>
                <c:pt idx="4">
                  <c:v>3228.073059</c:v>
                </c:pt>
                <c:pt idx="5">
                  <c:v>2162.050684</c:v>
                </c:pt>
                <c:pt idx="6">
                  <c:v>2045.153537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ser>
          <c:idx val="3"/>
          <c:order val="3"/>
          <c:tx>
            <c:strRef>
              <c:f>'Yearly'!$F$4:$F$5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0F8E07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'Yearly'!$B$6:$B$17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'Yearly'!$F$6:$F$17</c:f>
              <c:numCache>
                <c:ptCount val="12"/>
                <c:pt idx="0">
                  <c:v>627.000000</c:v>
                </c:pt>
                <c:pt idx="1">
                  <c:v>8322.900000</c:v>
                </c:pt>
                <c:pt idx="2">
                  <c:v>4573.000000</c:v>
                </c:pt>
                <c:pt idx="3">
                  <c:v>2108.479107</c:v>
                </c:pt>
                <c:pt idx="4">
                  <c:v>838.000000</c:v>
                </c:pt>
                <c:pt idx="5">
                  <c:v>47.408116</c:v>
                </c:pt>
                <c:pt idx="6">
                  <c:v>332.972499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  <c:pt idx="10">
                  <c:v>0.000000</c:v>
                </c:pt>
                <c:pt idx="11">
                  <c:v>0.000000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2250"/>
        <c:minorUnit val="11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854819"/>
          <c:y val="0"/>
          <c:w val="0.866386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643"/>
          <c:y val="0.12368"/>
          <c:w val="0.891587"/>
          <c:h val="0.810337"/>
        </c:manualLayout>
      </c:layout>
      <c:lineChart>
        <c:grouping val="standard"/>
        <c:varyColors val="0"/>
        <c:ser>
          <c:idx val="0"/>
          <c:order val="0"/>
          <c:tx>
            <c:strRef>
              <c:f>'Yearly'!$I$4:$I$5</c:f>
              <c:strCache>
                <c:ptCount val="1"/>
                <c:pt idx="0">
                  <c:v>Bank Forecasted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'Yearly'!$B$6:$B$17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'Yearly'!$I$6:$I$17</c:f>
              <c:numCache>
                <c:ptCount val="12"/>
                <c:pt idx="0">
                  <c:v>6650.740000</c:v>
                </c:pt>
                <c:pt idx="1">
                  <c:v>14811.860000</c:v>
                </c:pt>
                <c:pt idx="2">
                  <c:v>17621.270000</c:v>
                </c:pt>
                <c:pt idx="3">
                  <c:v>16765.490804</c:v>
                </c:pt>
                <c:pt idx="4">
                  <c:v>14192.010804</c:v>
                </c:pt>
                <c:pt idx="5">
                  <c:v>12318.530804</c:v>
                </c:pt>
                <c:pt idx="6">
                  <c:v>10249.300804</c:v>
                </c:pt>
                <c:pt idx="7">
                  <c:v>8375.820804</c:v>
                </c:pt>
                <c:pt idx="8">
                  <c:v>6528.440804</c:v>
                </c:pt>
                <c:pt idx="9">
                  <c:v>6528.440804</c:v>
                </c:pt>
                <c:pt idx="10">
                  <c:v>6528.440804</c:v>
                </c:pt>
                <c:pt idx="11">
                  <c:v>6528.440804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'Yearly'!$J$4:$J$5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3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3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'Yearly'!$B$6:$B$17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'Yearly'!$J$6:$J$17</c:f>
              <c:numCache>
                <c:ptCount val="12"/>
                <c:pt idx="0">
                  <c:v>6680.740000</c:v>
                </c:pt>
                <c:pt idx="1">
                  <c:v>14864.760000</c:v>
                </c:pt>
                <c:pt idx="2">
                  <c:v>17747.170000</c:v>
                </c:pt>
                <c:pt idx="3">
                  <c:v>16891.698288</c:v>
                </c:pt>
                <c:pt idx="4">
                  <c:v>14501.625229</c:v>
                </c:pt>
                <c:pt idx="5">
                  <c:v>12386.982661</c:v>
                </c:pt>
                <c:pt idx="6">
                  <c:v>10674.801623</c:v>
                </c:pt>
                <c:pt idx="7">
                  <c:v>10674.801623</c:v>
                </c:pt>
                <c:pt idx="8">
                  <c:v>10674.801623</c:v>
                </c:pt>
                <c:pt idx="9">
                  <c:v>10674.801623</c:v>
                </c:pt>
                <c:pt idx="10">
                  <c:v>10674.801623</c:v>
                </c:pt>
                <c:pt idx="11">
                  <c:v>10674.801623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[$€-2]#,##0.00_);[Red]\([$€-2]#,##0.00\)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[$€-2]#,##0.00_);[Red]\([$€-2]#,##0.00\)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midCat"/>
        <c:majorUnit val="4500"/>
        <c:minorUnit val="2250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103614"/>
          <c:y val="0"/>
          <c:w val="0.896386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Actual Summary</a:t>
            </a:r>
          </a:p>
        </c:rich>
      </c:tx>
      <c:layout>
        <c:manualLayout>
          <c:xMode val="edge"/>
          <c:yMode val="edge"/>
          <c:x val="0.311606"/>
          <c:y val="0"/>
          <c:w val="0.334789"/>
          <c:h val="0.170555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88582"/>
          <c:y val="0.170555"/>
          <c:w val="0.580837"/>
          <c:h val="0.512812"/>
        </c:manualLayout>
      </c:layout>
      <c:doughnutChart>
        <c:varyColors val="0"/>
        <c:ser>
          <c:idx val="0"/>
          <c:order val="0"/>
          <c:tx>
            <c:strRef>
              <c:f>'January'!$H$31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rgbClr val="0433FF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chemeClr val="accent4">
                  <a:hueOff val="-858837"/>
                  <a:lumOff val="-9791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rgbClr val="009193"/>
              </a:solidFill>
              <a:ln w="12700" cap="flat">
                <a:noFill/>
                <a:miter lim="400000"/>
              </a:ln>
              <a:effectLst/>
            </c:spPr>
          </c:dPt>
          <c:dPt>
            <c:idx val="4"/>
            <c:explosion val="0"/>
            <c:spPr>
              <a:solidFill>
                <a:srgbClr val="FF2600"/>
              </a:solidFill>
              <a:ln w="12700" cap="flat">
                <a:noFill/>
                <a:miter lim="400000"/>
              </a:ln>
              <a:effectLst/>
            </c:spPr>
          </c:dPt>
          <c:dPt>
            <c:idx val="5"/>
            <c:explosion val="0"/>
            <c:spPr>
              <a:solidFill>
                <a:srgbClr val="F5C443"/>
              </a:solidFill>
              <a:ln w="12700" cap="flat">
                <a:noFill/>
                <a:miter lim="400000"/>
              </a:ln>
              <a:effectLst/>
            </c:spPr>
          </c:dPt>
          <c:dPt>
            <c:idx val="6"/>
            <c:explosion val="0"/>
            <c:spPr>
              <a:solidFill>
                <a:srgbClr val="3F8335"/>
              </a:solidFill>
              <a:ln w="12700" cap="flat">
                <a:noFill/>
                <a:miter lim="400000"/>
              </a:ln>
              <a:effectLst/>
            </c:spPr>
          </c:dPt>
          <c:dPt>
            <c:idx val="7"/>
            <c:explosion val="0"/>
            <c:spPr>
              <a:solidFill>
                <a:srgbClr val="FF2F92"/>
              </a:solidFill>
              <a:ln w="12700" cap="flat">
                <a:noFill/>
                <a:miter lim="400000"/>
              </a:ln>
              <a:effectLst/>
            </c:spPr>
          </c:dPt>
          <c:dPt>
            <c:idx val="8"/>
            <c:explosion val="0"/>
            <c:spPr>
              <a:solidFill>
                <a:srgbClr val="FFA222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'January'!$F$32:$F$40</c:f>
              <c:strCache>
                <c:ptCount val="9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</c:strCache>
            </c:strRef>
          </c:cat>
          <c:val>
            <c:numRef>
              <c:f>'January'!$H$32:$H$40</c:f>
              <c:numCache>
                <c:ptCount val="9"/>
                <c:pt idx="0">
                  <c:v>0.000000</c:v>
                </c:pt>
                <c:pt idx="1">
                  <c:v>8.000000</c:v>
                </c:pt>
                <c:pt idx="2">
                  <c:v>0.000000</c:v>
                </c:pt>
                <c:pt idx="3">
                  <c:v>0.000000</c:v>
                </c:pt>
                <c:pt idx="4">
                  <c:v>21.600000</c:v>
                </c:pt>
                <c:pt idx="5">
                  <c:v>822.850000</c:v>
                </c:pt>
                <c:pt idx="6">
                  <c:v>8.600000</c:v>
                </c:pt>
                <c:pt idx="7">
                  <c:v>23.980000</c:v>
                </c:pt>
                <c:pt idx="8">
                  <c:v>27.440000</c:v>
                </c:pt>
              </c:numCache>
            </c:numRef>
          </c:val>
        </c:ser>
        <c:firstSliceAng val="67"/>
        <c:holeSize val="84"/>
      </c:doughnut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109749"/>
          <c:y val="0.786958"/>
          <c:w val="0.890251"/>
          <c:h val="0.21304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Budget vs. Actual</a:t>
            </a:r>
          </a:p>
        </c:rich>
      </c:tx>
      <c:layout>
        <c:manualLayout>
          <c:xMode val="edge"/>
          <c:yMode val="edge"/>
          <c:x val="0.29238"/>
          <c:y val="0"/>
          <c:w val="0.410911"/>
          <c:h val="0.0883386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219704"/>
          <c:y val="0.0883386"/>
          <c:w val="0.775296"/>
          <c:h val="0.5164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'January'!$G$31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[$€-2]#,##0.00_);[Red]\([$€-2]#,##0.00\)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'January'!$F$32:$F$40</c:f>
              <c:strCache>
                <c:ptCount val="9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</c:strCache>
            </c:strRef>
          </c:cat>
          <c:val>
            <c:numRef>
              <c:f>'January'!$G$32:$G$40</c:f>
              <c:numCache>
                <c:ptCount val="9"/>
                <c:pt idx="0">
                  <c:v>0.000000</c:v>
                </c:pt>
                <c:pt idx="1">
                  <c:v>8.000000</c:v>
                </c:pt>
                <c:pt idx="2">
                  <c:v>0.000000</c:v>
                </c:pt>
                <c:pt idx="3">
                  <c:v>0.000000</c:v>
                </c:pt>
                <c:pt idx="4">
                  <c:v>21.600000</c:v>
                </c:pt>
                <c:pt idx="5">
                  <c:v>822.850000</c:v>
                </c:pt>
                <c:pt idx="6">
                  <c:v>8.600000</c:v>
                </c:pt>
                <c:pt idx="7">
                  <c:v>23.980000</c:v>
                </c:pt>
                <c:pt idx="8">
                  <c:v>27.440000</c:v>
                </c:pt>
              </c:numCache>
            </c:numRef>
          </c:val>
        </c:ser>
        <c:ser>
          <c:idx val="1"/>
          <c:order val="1"/>
          <c:tx>
            <c:strRef>
              <c:f>'January'!$H$31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[$€-2]#,##0.00_);[Red]\([$€-2]#,##0.00\)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'January'!$F$32:$F$40</c:f>
              <c:strCache>
                <c:ptCount val="9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</c:strCache>
            </c:strRef>
          </c:cat>
          <c:val>
            <c:numRef>
              <c:f>'January'!$H$32:$H$40</c:f>
              <c:numCache>
                <c:ptCount val="9"/>
                <c:pt idx="0">
                  <c:v>0.000000</c:v>
                </c:pt>
                <c:pt idx="1">
                  <c:v>8.000000</c:v>
                </c:pt>
                <c:pt idx="2">
                  <c:v>0.000000</c:v>
                </c:pt>
                <c:pt idx="3">
                  <c:v>0.000000</c:v>
                </c:pt>
                <c:pt idx="4">
                  <c:v>21.600000</c:v>
                </c:pt>
                <c:pt idx="5">
                  <c:v>822.850000</c:v>
                </c:pt>
                <c:pt idx="6">
                  <c:v>8.600000</c:v>
                </c:pt>
                <c:pt idx="7">
                  <c:v>23.980000</c:v>
                </c:pt>
                <c:pt idx="8">
                  <c:v>27.440000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[$€-2]#,##0.00_);[Red]\([$€-2]#,##0.00\)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[$€-2]#,##0.00_);[Red]\([$€-2]#,##0.00\)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225"/>
        <c:minorUnit val="112.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12019"/>
          <c:y val="0.92933"/>
          <c:w val="0.787981"/>
          <c:h val="0.065786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Actual Summary</a:t>
            </a:r>
          </a:p>
        </c:rich>
      </c:tx>
      <c:layout>
        <c:manualLayout>
          <c:xMode val="edge"/>
          <c:yMode val="edge"/>
          <c:x val="0.293607"/>
          <c:y val="0"/>
          <c:w val="0.343543"/>
          <c:h val="0.15099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67367"/>
          <c:y val="0.15099"/>
          <c:w val="0.596023"/>
          <c:h val="0.525203"/>
        </c:manualLayout>
      </c:layout>
      <c:doughnutChart>
        <c:varyColors val="0"/>
        <c:ser>
          <c:idx val="0"/>
          <c:order val="0"/>
          <c:tx>
            <c:strRef>
              <c:f>'February'!$H$32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3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rgbClr val="929292"/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rgbClr val="F8BA00"/>
              </a:solidFill>
              <a:ln w="12700" cap="flat">
                <a:noFill/>
                <a:miter lim="400000"/>
              </a:ln>
              <a:effectLst/>
            </c:spPr>
          </c:dPt>
          <c:dPt>
            <c:idx val="4"/>
            <c:explosion val="0"/>
            <c:spPr>
              <a:solidFill>
                <a:srgbClr val="FF2600"/>
              </a:solidFill>
              <a:ln w="12700" cap="flat">
                <a:noFill/>
                <a:miter lim="400000"/>
              </a:ln>
              <a:effectLst/>
            </c:spPr>
          </c:dPt>
          <c:dPt>
            <c:idx val="5"/>
            <c:explosion val="0"/>
            <c:spPr>
              <a:solidFill>
                <a:schemeClr val="accent6">
                  <a:satOff val="-20754"/>
                  <a:lumOff val="-16738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6"/>
            <c:explosion val="0"/>
            <c:spPr>
              <a:solidFill>
                <a:srgbClr val="22AEFF"/>
              </a:solidFill>
              <a:ln w="12700" cap="flat">
                <a:noFill/>
                <a:miter lim="400000"/>
              </a:ln>
              <a:effectLst/>
            </c:spPr>
          </c:dPt>
          <c:dPt>
            <c:idx val="7"/>
            <c:explosion val="0"/>
            <c:spPr>
              <a:solidFill>
                <a:srgbClr val="73DD4E"/>
              </a:solidFill>
              <a:ln w="12700" cap="flat">
                <a:noFill/>
                <a:miter lim="400000"/>
              </a:ln>
              <a:effectLst/>
            </c:spPr>
          </c:dPt>
          <c:dPt>
            <c:idx val="8"/>
            <c:explosion val="0"/>
            <c:spPr>
              <a:solidFill>
                <a:srgbClr val="A0A0A0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'February'!$F$33:$F$41</c:f>
              <c:strCache>
                <c:ptCount val="9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</c:strCache>
            </c:strRef>
          </c:cat>
          <c:val>
            <c:numRef>
              <c:f>'February'!$H$33:$H$41</c:f>
              <c:numCache>
                <c:ptCount val="9"/>
                <c:pt idx="0">
                  <c:v>4.300000</c:v>
                </c:pt>
                <c:pt idx="1">
                  <c:v>46.000000</c:v>
                </c:pt>
                <c:pt idx="2">
                  <c:v>4.600000</c:v>
                </c:pt>
                <c:pt idx="3">
                  <c:v>36.130000</c:v>
                </c:pt>
                <c:pt idx="4">
                  <c:v>0.000000</c:v>
                </c:pt>
                <c:pt idx="5">
                  <c:v>0.000000</c:v>
                </c:pt>
                <c:pt idx="6">
                  <c:v>10.360000</c:v>
                </c:pt>
                <c:pt idx="7">
                  <c:v>5.000000</c:v>
                </c:pt>
                <c:pt idx="8">
                  <c:v>32.490000</c:v>
                </c:pt>
              </c:numCache>
            </c:numRef>
          </c:val>
        </c:ser>
        <c:firstSliceAng val="67"/>
        <c:holeSize val="84"/>
      </c:doughnut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864723"/>
          <c:y val="0.782227"/>
          <c:w val="0.913528"/>
          <c:h val="0.217773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Budget vs. Actual</a:t>
            </a:r>
          </a:p>
        </c:rich>
      </c:tx>
      <c:layout>
        <c:manualLayout>
          <c:xMode val="edge"/>
          <c:yMode val="edge"/>
          <c:x val="0.287259"/>
          <c:y val="0"/>
          <c:w val="0.421046"/>
          <c:h val="0.0883386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200457"/>
          <c:y val="0.0883386"/>
          <c:w val="0.794543"/>
          <c:h val="0.5164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'February'!$G$32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[$€-2]#,##0.00_);[Red]\([$€-2]#,##0.00\)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'February'!$F$33:$F$41</c:f>
              <c:strCache>
                <c:ptCount val="9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</c:strCache>
            </c:strRef>
          </c:cat>
          <c:val>
            <c:numRef>
              <c:f>'February'!$G$33:$G$41</c:f>
              <c:numCache>
                <c:ptCount val="9"/>
                <c:pt idx="0">
                  <c:v>4.300000</c:v>
                </c:pt>
                <c:pt idx="1">
                  <c:v>46.000000</c:v>
                </c:pt>
                <c:pt idx="2">
                  <c:v>4.600000</c:v>
                </c:pt>
                <c:pt idx="3">
                  <c:v>36.130000</c:v>
                </c:pt>
                <c:pt idx="4">
                  <c:v>0.000000</c:v>
                </c:pt>
                <c:pt idx="5">
                  <c:v>0.000000</c:v>
                </c:pt>
                <c:pt idx="6">
                  <c:v>10.360000</c:v>
                </c:pt>
                <c:pt idx="7">
                  <c:v>5.000000</c:v>
                </c:pt>
                <c:pt idx="8">
                  <c:v>32.490000</c:v>
                </c:pt>
              </c:numCache>
            </c:numRef>
          </c:val>
        </c:ser>
        <c:ser>
          <c:idx val="1"/>
          <c:order val="1"/>
          <c:tx>
            <c:strRef>
              <c:f>'February'!$H$32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[$€-2]#,##0.00_);[Red]\([$€-2]#,##0.00\)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'February'!$F$33:$F$41</c:f>
              <c:strCache>
                <c:ptCount val="9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</c:strCache>
            </c:strRef>
          </c:cat>
          <c:val>
            <c:numRef>
              <c:f>'February'!$H$33:$H$41</c:f>
              <c:numCache>
                <c:ptCount val="9"/>
                <c:pt idx="0">
                  <c:v>4.300000</c:v>
                </c:pt>
                <c:pt idx="1">
                  <c:v>46.000000</c:v>
                </c:pt>
                <c:pt idx="2">
                  <c:v>4.600000</c:v>
                </c:pt>
                <c:pt idx="3">
                  <c:v>36.130000</c:v>
                </c:pt>
                <c:pt idx="4">
                  <c:v>0.000000</c:v>
                </c:pt>
                <c:pt idx="5">
                  <c:v>0.000000</c:v>
                </c:pt>
                <c:pt idx="6">
                  <c:v>10.360000</c:v>
                </c:pt>
                <c:pt idx="7">
                  <c:v>5.000000</c:v>
                </c:pt>
                <c:pt idx="8">
                  <c:v>32.490000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[$€-2]#,##0.00_);[Red]\([$€-2]#,##0.00\)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[$€-2]#,##0.00_);[Red]\([$€-2]#,##0.00\)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2.5"/>
        <c:minorUnit val="6.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192582"/>
          <c:y val="0.92933"/>
          <c:w val="0.807418"/>
          <c:h val="0.065786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Actual Summary</a:t>
            </a:r>
          </a:p>
        </c:rich>
      </c:tx>
      <c:layout>
        <c:manualLayout>
          <c:xMode val="edge"/>
          <c:yMode val="edge"/>
          <c:x val="0.302258"/>
          <c:y val="0"/>
          <c:w val="0.339335"/>
          <c:h val="0.160381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77564"/>
          <c:y val="0.160381"/>
          <c:w val="0.588724"/>
          <c:h val="0.519255"/>
        </c:manualLayout>
      </c:layout>
      <c:doughnutChart>
        <c:varyColors val="0"/>
        <c:ser>
          <c:idx val="0"/>
          <c:order val="0"/>
          <c:tx>
            <c:strRef>
              <c:f>'March'!$H$44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3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rgbClr val="929292"/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rgbClr val="F8BA00"/>
              </a:solidFill>
              <a:ln w="12700" cap="flat">
                <a:noFill/>
                <a:miter lim="400000"/>
              </a:ln>
              <a:effectLst/>
            </c:spPr>
          </c:dPt>
          <c:dPt>
            <c:idx val="4"/>
            <c:explosion val="0"/>
            <c:spPr>
              <a:solidFill>
                <a:srgbClr val="FF2600"/>
              </a:solidFill>
              <a:ln w="12700" cap="flat">
                <a:noFill/>
                <a:miter lim="400000"/>
              </a:ln>
              <a:effectLst/>
            </c:spPr>
          </c:dPt>
          <c:dPt>
            <c:idx val="5"/>
            <c:explosion val="0"/>
            <c:spPr>
              <a:solidFill>
                <a:schemeClr val="accent6">
                  <a:satOff val="-20754"/>
                  <a:lumOff val="-16738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6"/>
            <c:explosion val="0"/>
            <c:spPr>
              <a:solidFill>
                <a:srgbClr val="22AEFF"/>
              </a:solidFill>
              <a:ln w="12700" cap="flat">
                <a:noFill/>
                <a:miter lim="400000"/>
              </a:ln>
              <a:effectLst/>
            </c:spPr>
          </c:dPt>
          <c:dPt>
            <c:idx val="7"/>
            <c:explosion val="0"/>
            <c:spPr>
              <a:solidFill>
                <a:srgbClr val="73DD4E"/>
              </a:solidFill>
              <a:ln w="12700" cap="flat">
                <a:noFill/>
                <a:miter lim="400000"/>
              </a:ln>
              <a:effectLst/>
            </c:spPr>
          </c:dPt>
          <c:dPt>
            <c:idx val="8"/>
            <c:explosion val="0"/>
            <c:spPr>
              <a:solidFill>
                <a:srgbClr val="A0A0A0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'March'!$F$45:$F$53</c:f>
              <c:strCache>
                <c:ptCount val="9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</c:strCache>
            </c:strRef>
          </c:cat>
          <c:val>
            <c:numRef>
              <c:f>'March'!$H$45:$H$53</c:f>
              <c:numCache>
                <c:ptCount val="9"/>
                <c:pt idx="0">
                  <c:v>99.640000</c:v>
                </c:pt>
                <c:pt idx="1">
                  <c:v>23.000000</c:v>
                </c:pt>
                <c:pt idx="2">
                  <c:v>91.450000</c:v>
                </c:pt>
                <c:pt idx="3">
                  <c:v>0.000000</c:v>
                </c:pt>
                <c:pt idx="4">
                  <c:v>568.820000</c:v>
                </c:pt>
                <c:pt idx="5">
                  <c:v>295.450000</c:v>
                </c:pt>
                <c:pt idx="6">
                  <c:v>14.350000</c:v>
                </c:pt>
                <c:pt idx="7">
                  <c:v>39.900000</c:v>
                </c:pt>
                <c:pt idx="8">
                  <c:v>557.980000</c:v>
                </c:pt>
              </c:numCache>
            </c:numRef>
          </c:val>
        </c:ser>
        <c:firstSliceAng val="67"/>
        <c:holeSize val="84"/>
      </c:doughnut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976599"/>
          <c:y val="0.784498"/>
          <c:w val="0.90234"/>
          <c:h val="0.21550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Budget vs. Actual</a:t>
            </a:r>
          </a:p>
        </c:rich>
      </c:tx>
      <c:layout>
        <c:manualLayout>
          <c:xMode val="edge"/>
          <c:yMode val="edge"/>
          <c:x val="0.29238"/>
          <c:y val="0"/>
          <c:w val="0.410911"/>
          <c:h val="0.0883386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219704"/>
          <c:y val="0.0883386"/>
          <c:w val="0.775296"/>
          <c:h val="0.5164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'March'!$G$44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[$€-2]#,##0.00_);[Red]\([$€-2]#,##0.00\)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'March'!$F$45:$F$53</c:f>
              <c:strCache>
                <c:ptCount val="9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</c:strCache>
            </c:strRef>
          </c:cat>
          <c:val>
            <c:numRef>
              <c:f>'March'!$G$45:$G$53</c:f>
              <c:numCache>
                <c:ptCount val="9"/>
                <c:pt idx="0">
                  <c:v>99.640000</c:v>
                </c:pt>
                <c:pt idx="1">
                  <c:v>23.000000</c:v>
                </c:pt>
                <c:pt idx="2">
                  <c:v>91.450000</c:v>
                </c:pt>
                <c:pt idx="3">
                  <c:v>0.000000</c:v>
                </c:pt>
                <c:pt idx="4">
                  <c:v>568.820000</c:v>
                </c:pt>
                <c:pt idx="5">
                  <c:v>295.450000</c:v>
                </c:pt>
                <c:pt idx="6">
                  <c:v>14.350000</c:v>
                </c:pt>
                <c:pt idx="7">
                  <c:v>39.900000</c:v>
                </c:pt>
                <c:pt idx="8">
                  <c:v>557.980000</c:v>
                </c:pt>
              </c:numCache>
            </c:numRef>
          </c:val>
        </c:ser>
        <c:ser>
          <c:idx val="1"/>
          <c:order val="1"/>
          <c:tx>
            <c:strRef>
              <c:f>'March'!$H$44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[$€-2]#,##0.00_);[Red]\([$€-2]#,##0.00\)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'March'!$F$45:$F$53</c:f>
              <c:strCache>
                <c:ptCount val="9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</c:strCache>
            </c:strRef>
          </c:cat>
          <c:val>
            <c:numRef>
              <c:f>'March'!$H$45:$H$53</c:f>
              <c:numCache>
                <c:ptCount val="9"/>
                <c:pt idx="0">
                  <c:v>99.640000</c:v>
                </c:pt>
                <c:pt idx="1">
                  <c:v>23.000000</c:v>
                </c:pt>
                <c:pt idx="2">
                  <c:v>91.450000</c:v>
                </c:pt>
                <c:pt idx="3">
                  <c:v>0.000000</c:v>
                </c:pt>
                <c:pt idx="4">
                  <c:v>568.820000</c:v>
                </c:pt>
                <c:pt idx="5">
                  <c:v>295.450000</c:v>
                </c:pt>
                <c:pt idx="6">
                  <c:v>14.350000</c:v>
                </c:pt>
                <c:pt idx="7">
                  <c:v>39.900000</c:v>
                </c:pt>
                <c:pt idx="8">
                  <c:v>557.980000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[$€-2]#,##0.00_);[Red]\([$€-2]#,##0.00\)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[$€-2]#,##0.00_);[Red]\([$€-2]#,##0.00\)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50"/>
        <c:minorUnit val="7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12019"/>
          <c:y val="0.92933"/>
          <c:w val="0.787981"/>
          <c:h val="0.065786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Actual Summary</a:t>
            </a:r>
          </a:p>
        </c:rich>
      </c:tx>
      <c:layout>
        <c:manualLayout>
          <c:xMode val="edge"/>
          <c:yMode val="edge"/>
          <c:x val="0.322769"/>
          <c:y val="0"/>
          <c:w val="0.32936"/>
          <c:h val="0.182738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20174"/>
          <c:y val="0.182738"/>
          <c:w val="0.571418"/>
          <c:h val="0.505096"/>
        </c:manualLayout>
      </c:layout>
      <c:doughnutChart>
        <c:varyColors val="0"/>
        <c:ser>
          <c:idx val="0"/>
          <c:order val="0"/>
          <c:tx>
            <c:strRef>
              <c:f>'April'!$K$66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3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rgbClr val="929292"/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rgbClr val="F8BA00"/>
              </a:solidFill>
              <a:ln w="12700" cap="flat">
                <a:noFill/>
                <a:miter lim="400000"/>
              </a:ln>
              <a:effectLst/>
            </c:spPr>
          </c:dPt>
          <c:dPt>
            <c:idx val="4"/>
            <c:explosion val="0"/>
            <c:spPr>
              <a:solidFill>
                <a:srgbClr val="FF2600"/>
              </a:solidFill>
              <a:ln w="12700" cap="flat">
                <a:noFill/>
                <a:miter lim="400000"/>
              </a:ln>
              <a:effectLst/>
            </c:spPr>
          </c:dPt>
          <c:dPt>
            <c:idx val="5"/>
            <c:explosion val="0"/>
            <c:spPr>
              <a:solidFill>
                <a:schemeClr val="accent6">
                  <a:satOff val="-20754"/>
                  <a:lumOff val="-16738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6"/>
            <c:explosion val="0"/>
            <c:spPr>
              <a:solidFill>
                <a:srgbClr val="22AEFF"/>
              </a:solidFill>
              <a:ln w="12700" cap="flat">
                <a:noFill/>
                <a:miter lim="400000"/>
              </a:ln>
              <a:effectLst/>
            </c:spPr>
          </c:dPt>
          <c:dPt>
            <c:idx val="7"/>
            <c:explosion val="0"/>
            <c:spPr>
              <a:solidFill>
                <a:srgbClr val="73DD4E"/>
              </a:solidFill>
              <a:ln w="12700" cap="flat">
                <a:noFill/>
                <a:miter lim="400000"/>
              </a:ln>
              <a:effectLst/>
            </c:spPr>
          </c:dPt>
          <c:dPt>
            <c:idx val="8"/>
            <c:explosion val="0"/>
            <c:spPr>
              <a:solidFill>
                <a:srgbClr val="A0A0A0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'April'!$I$67:$I$75</c:f>
              <c:strCache>
                <c:ptCount val="9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</c:strCache>
            </c:strRef>
          </c:cat>
          <c:val>
            <c:numRef>
              <c:f>'April'!$K$67:$K$75</c:f>
              <c:numCache>
                <c:ptCount val="9"/>
                <c:pt idx="0">
                  <c:v>192.460940</c:v>
                </c:pt>
                <c:pt idx="1">
                  <c:v>0.000000</c:v>
                </c:pt>
                <c:pt idx="2">
                  <c:v>208.710811</c:v>
                </c:pt>
                <c:pt idx="3">
                  <c:v>1867.290000</c:v>
                </c:pt>
                <c:pt idx="4">
                  <c:v>0.000000</c:v>
                </c:pt>
                <c:pt idx="5">
                  <c:v>145.520000</c:v>
                </c:pt>
                <c:pt idx="6">
                  <c:v>70.740000</c:v>
                </c:pt>
                <c:pt idx="7">
                  <c:v>52.420000</c:v>
                </c:pt>
                <c:pt idx="8">
                  <c:v>426.809068</c:v>
                </c:pt>
              </c:numCache>
            </c:numRef>
          </c:val>
        </c:ser>
        <c:firstSliceAng val="67"/>
        <c:holeSize val="84"/>
      </c:doughnut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124185"/>
          <c:y val="0.789903"/>
          <c:w val="0.875815"/>
          <c:h val="0.21009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Budget vs. Actual</a:t>
            </a:r>
          </a:p>
        </c:rich>
      </c:tx>
      <c:layout>
        <c:manualLayout>
          <c:xMode val="edge"/>
          <c:yMode val="edge"/>
          <c:x val="0.299616"/>
          <c:y val="0"/>
          <c:w val="0.39659"/>
          <c:h val="0.0883386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246897"/>
          <c:y val="0.0883386"/>
          <c:w val="0.748103"/>
          <c:h val="0.5164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'April'!$J$66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[$€-2]#,##0.00_);[Red]\([$€-2]#,##0.00\)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'April'!$I$67:$I$75</c:f>
              <c:strCache>
                <c:ptCount val="9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</c:strCache>
            </c:strRef>
          </c:cat>
          <c:val>
            <c:numRef>
              <c:f>'April'!$J$67:$J$75</c:f>
              <c:numCache>
                <c:ptCount val="9"/>
                <c:pt idx="0">
                  <c:v>192.436286</c:v>
                </c:pt>
                <c:pt idx="1">
                  <c:v>0.000000</c:v>
                </c:pt>
                <c:pt idx="2">
                  <c:v>208.623352</c:v>
                </c:pt>
                <c:pt idx="3">
                  <c:v>1867.290000</c:v>
                </c:pt>
                <c:pt idx="4">
                  <c:v>0.000000</c:v>
                </c:pt>
                <c:pt idx="5">
                  <c:v>145.520000</c:v>
                </c:pt>
                <c:pt idx="6">
                  <c:v>70.740000</c:v>
                </c:pt>
                <c:pt idx="7">
                  <c:v>52.420000</c:v>
                </c:pt>
                <c:pt idx="8">
                  <c:v>426.749558</c:v>
                </c:pt>
              </c:numCache>
            </c:numRef>
          </c:val>
        </c:ser>
        <c:ser>
          <c:idx val="1"/>
          <c:order val="1"/>
          <c:tx>
            <c:strRef>
              <c:f>'April'!$K$66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[$€-2]#,##0.00_);[Red]\([$€-2]#,##0.00\)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'April'!$I$67:$I$75</c:f>
              <c:strCache>
                <c:ptCount val="9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</c:strCache>
            </c:strRef>
          </c:cat>
          <c:val>
            <c:numRef>
              <c:f>'April'!$K$67:$K$75</c:f>
              <c:numCache>
                <c:ptCount val="9"/>
                <c:pt idx="0">
                  <c:v>192.460940</c:v>
                </c:pt>
                <c:pt idx="1">
                  <c:v>0.000000</c:v>
                </c:pt>
                <c:pt idx="2">
                  <c:v>208.710811</c:v>
                </c:pt>
                <c:pt idx="3">
                  <c:v>1867.290000</c:v>
                </c:pt>
                <c:pt idx="4">
                  <c:v>0.000000</c:v>
                </c:pt>
                <c:pt idx="5">
                  <c:v>145.520000</c:v>
                </c:pt>
                <c:pt idx="6">
                  <c:v>70.740000</c:v>
                </c:pt>
                <c:pt idx="7">
                  <c:v>52.420000</c:v>
                </c:pt>
                <c:pt idx="8">
                  <c:v>426.809068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[$€-2]#,##0.00_);[Red]\([$€-2]#,##0.00\)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[$€-2]#,##0.00_);[Red]\([$€-2]#,##0.00\)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500"/>
        <c:minorUnit val="250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3948"/>
          <c:y val="0.92933"/>
          <c:w val="0.76052"/>
          <c:h val="0.065786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Actual Summary</a:t>
            </a:r>
          </a:p>
        </c:rich>
      </c:tx>
      <c:layout>
        <c:manualLayout>
          <c:xMode val="edge"/>
          <c:yMode val="edge"/>
          <c:x val="0.30046"/>
          <c:y val="0"/>
          <c:w val="0.34021"/>
          <c:h val="0.158428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75444"/>
          <c:y val="0.158428"/>
          <c:w val="0.590241"/>
          <c:h val="0.520492"/>
        </c:manualLayout>
      </c:layout>
      <c:doughnutChart>
        <c:varyColors val="0"/>
        <c:ser>
          <c:idx val="0"/>
          <c:order val="0"/>
          <c:tx>
            <c:strRef>
              <c:f>'May'!$K$99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3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rgbClr val="929292"/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rgbClr val="F8BA00"/>
              </a:solidFill>
              <a:ln w="12700" cap="flat">
                <a:noFill/>
                <a:miter lim="400000"/>
              </a:ln>
              <a:effectLst/>
            </c:spPr>
          </c:dPt>
          <c:dPt>
            <c:idx val="4"/>
            <c:explosion val="0"/>
            <c:spPr>
              <a:solidFill>
                <a:srgbClr val="FF2600"/>
              </a:solidFill>
              <a:ln w="12700" cap="flat">
                <a:noFill/>
                <a:miter lim="400000"/>
              </a:ln>
              <a:effectLst/>
            </c:spPr>
          </c:dPt>
          <c:dPt>
            <c:idx val="5"/>
            <c:explosion val="0"/>
            <c:spPr>
              <a:solidFill>
                <a:schemeClr val="accent6">
                  <a:satOff val="-20754"/>
                  <a:lumOff val="-16738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6"/>
            <c:explosion val="0"/>
            <c:spPr>
              <a:solidFill>
                <a:srgbClr val="22AEFF"/>
              </a:solidFill>
              <a:ln w="12700" cap="flat">
                <a:noFill/>
                <a:miter lim="400000"/>
              </a:ln>
              <a:effectLst/>
            </c:spPr>
          </c:dPt>
          <c:dPt>
            <c:idx val="7"/>
            <c:explosion val="0"/>
            <c:spPr>
              <a:solidFill>
                <a:srgbClr val="73DD4E"/>
              </a:solidFill>
              <a:ln w="12700" cap="flat">
                <a:noFill/>
                <a:miter lim="400000"/>
              </a:ln>
              <a:effectLst/>
            </c:spPr>
          </c:dPt>
          <c:dPt>
            <c:idx val="8"/>
            <c:explosion val="0"/>
            <c:spPr>
              <a:solidFill>
                <a:srgbClr val="A0A0A0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'May'!$I$100:$I$108</c:f>
              <c:strCache>
                <c:ptCount val="9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</c:strCache>
            </c:strRef>
          </c:cat>
          <c:val>
            <c:numRef>
              <c:f>'May'!$K$100:$K$108</c:f>
              <c:numCache>
                <c:ptCount val="9"/>
                <c:pt idx="0">
                  <c:v>220.412553</c:v>
                </c:pt>
                <c:pt idx="1">
                  <c:v>85.822078</c:v>
                </c:pt>
                <c:pt idx="2">
                  <c:v>249.047089</c:v>
                </c:pt>
                <c:pt idx="3">
                  <c:v>1630.590657</c:v>
                </c:pt>
                <c:pt idx="4">
                  <c:v>0.000000</c:v>
                </c:pt>
                <c:pt idx="5">
                  <c:v>145.640067</c:v>
                </c:pt>
                <c:pt idx="6">
                  <c:v>730.539617</c:v>
                </c:pt>
                <c:pt idx="7">
                  <c:v>46.044416</c:v>
                </c:pt>
                <c:pt idx="8">
                  <c:v>119.976582</c:v>
                </c:pt>
              </c:numCache>
            </c:numRef>
          </c:val>
        </c:ser>
        <c:firstSliceAng val="67"/>
        <c:holeSize val="84"/>
      </c:doughnut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953346"/>
          <c:y val="0.784025"/>
          <c:w val="0.904665"/>
          <c:h val="0.215975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Budget vs. Actual</a:t>
            </a:r>
          </a:p>
        </c:rich>
      </c:tx>
      <c:layout>
        <c:manualLayout>
          <c:xMode val="edge"/>
          <c:yMode val="edge"/>
          <c:x val="0.299616"/>
          <c:y val="0"/>
          <c:w val="0.39659"/>
          <c:h val="0.0883386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246897"/>
          <c:y val="0.0883386"/>
          <c:w val="0.748103"/>
          <c:h val="0.5164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'May'!$J$99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[$€-2]#,##0.00_);[Red]\([$€-2]#,##0.00\)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'May'!$I$100:$I$109</c:f>
              <c:strCache>
                <c:ptCount val="10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  <c:pt idx="9">
                  <c:v>Investment</c:v>
                </c:pt>
              </c:strCache>
            </c:strRef>
          </c:cat>
          <c:val>
            <c:numRef>
              <c:f>'May'!$J$100:$J$109</c:f>
              <c:numCache>
                <c:ptCount val="10"/>
                <c:pt idx="0">
                  <c:v>139.200000</c:v>
                </c:pt>
                <c:pt idx="1">
                  <c:v>100.000000</c:v>
                </c:pt>
                <c:pt idx="2">
                  <c:v>287.100000</c:v>
                </c:pt>
                <c:pt idx="3">
                  <c:v>1600.000000</c:v>
                </c:pt>
                <c:pt idx="4">
                  <c:v>0.000000</c:v>
                </c:pt>
                <c:pt idx="5">
                  <c:v>0.000000</c:v>
                </c:pt>
                <c:pt idx="6">
                  <c:v>278.400000</c:v>
                </c:pt>
                <c:pt idx="7">
                  <c:v>81.780000</c:v>
                </c:pt>
                <c:pt idx="8">
                  <c:v>87.000000</c:v>
                </c:pt>
                <c:pt idx="9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'May'!$K$99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[$€-2]#,##0.00_);[Red]\([$€-2]#,##0.00\)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'May'!$I$100:$I$109</c:f>
              <c:strCache>
                <c:ptCount val="10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  <c:pt idx="9">
                  <c:v>Investment</c:v>
                </c:pt>
              </c:strCache>
            </c:strRef>
          </c:cat>
          <c:val>
            <c:numRef>
              <c:f>'May'!$K$100:$K$109</c:f>
              <c:numCache>
                <c:ptCount val="10"/>
                <c:pt idx="0">
                  <c:v>220.412553</c:v>
                </c:pt>
                <c:pt idx="1">
                  <c:v>85.822078</c:v>
                </c:pt>
                <c:pt idx="2">
                  <c:v>249.047089</c:v>
                </c:pt>
                <c:pt idx="3">
                  <c:v>1630.590657</c:v>
                </c:pt>
                <c:pt idx="4">
                  <c:v>0.000000</c:v>
                </c:pt>
                <c:pt idx="5">
                  <c:v>145.640067</c:v>
                </c:pt>
                <c:pt idx="6">
                  <c:v>730.539617</c:v>
                </c:pt>
                <c:pt idx="7">
                  <c:v>46.044416</c:v>
                </c:pt>
                <c:pt idx="8">
                  <c:v>119.976582</c:v>
                </c:pt>
                <c:pt idx="9">
                  <c:v>0.000000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[$€-2]#,##0.00_);[Red]\([$€-2]#,##0.00\)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[$€-2]#,##0.00_);[Red]\([$€-2]#,##0.00\)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450"/>
        <c:minorUnit val="2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3948"/>
          <c:y val="0.92933"/>
          <c:w val="0.76052"/>
          <c:h val="0.065786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Actual Summary</a:t>
            </a:r>
          </a:p>
        </c:rich>
      </c:tx>
      <c:layout>
        <c:manualLayout>
          <c:xMode val="edge"/>
          <c:yMode val="edge"/>
          <c:x val="0.30189"/>
          <c:y val="0"/>
          <c:w val="0.339514"/>
          <c:h val="0.159981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7713"/>
          <c:y val="0.159981"/>
          <c:w val="0.589035"/>
          <c:h val="0.519508"/>
        </c:manualLayout>
      </c:layout>
      <c:doughnutChart>
        <c:varyColors val="0"/>
        <c:ser>
          <c:idx val="0"/>
          <c:order val="0"/>
          <c:tx>
            <c:strRef>
              <c:f>'June'!$K$79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3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rgbClr val="929292"/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rgbClr val="F8BA00"/>
              </a:solidFill>
              <a:ln w="12700" cap="flat">
                <a:noFill/>
                <a:miter lim="400000"/>
              </a:ln>
              <a:effectLst/>
            </c:spPr>
          </c:dPt>
          <c:dPt>
            <c:idx val="4"/>
            <c:explosion val="0"/>
            <c:spPr>
              <a:solidFill>
                <a:srgbClr val="FF2600"/>
              </a:solidFill>
              <a:ln w="12700" cap="flat">
                <a:noFill/>
                <a:miter lim="400000"/>
              </a:ln>
              <a:effectLst/>
            </c:spPr>
          </c:dPt>
          <c:dPt>
            <c:idx val="5"/>
            <c:explosion val="0"/>
            <c:spPr>
              <a:solidFill>
                <a:schemeClr val="accent6">
                  <a:satOff val="-20754"/>
                  <a:lumOff val="-16738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6"/>
            <c:explosion val="0"/>
            <c:spPr>
              <a:solidFill>
                <a:srgbClr val="22AEFF"/>
              </a:solidFill>
              <a:ln w="12700" cap="flat">
                <a:noFill/>
                <a:miter lim="400000"/>
              </a:ln>
              <a:effectLst/>
            </c:spPr>
          </c:dPt>
          <c:dPt>
            <c:idx val="7"/>
            <c:explosion val="0"/>
            <c:spPr>
              <a:solidFill>
                <a:srgbClr val="73DD4E"/>
              </a:solidFill>
              <a:ln w="12700" cap="flat">
                <a:noFill/>
                <a:miter lim="400000"/>
              </a:ln>
              <a:effectLst/>
            </c:spPr>
          </c:dPt>
          <c:dPt>
            <c:idx val="8"/>
            <c:explosion val="0"/>
            <c:spPr>
              <a:solidFill>
                <a:srgbClr val="A0A0A0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'June'!$I$80:$I$88</c:f>
              <c:strCache>
                <c:ptCount val="9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</c:strCache>
            </c:strRef>
          </c:cat>
          <c:val>
            <c:numRef>
              <c:f>'June'!$K$80:$K$88</c:f>
              <c:numCache>
                <c:ptCount val="9"/>
                <c:pt idx="0">
                  <c:v>150.566254</c:v>
                </c:pt>
                <c:pt idx="1">
                  <c:v>0.000000</c:v>
                </c:pt>
                <c:pt idx="2">
                  <c:v>502.207440</c:v>
                </c:pt>
                <c:pt idx="3">
                  <c:v>948.500000</c:v>
                </c:pt>
                <c:pt idx="4">
                  <c:v>0.000000</c:v>
                </c:pt>
                <c:pt idx="5">
                  <c:v>49.999943</c:v>
                </c:pt>
                <c:pt idx="6">
                  <c:v>181.436456</c:v>
                </c:pt>
                <c:pt idx="7">
                  <c:v>46.534416</c:v>
                </c:pt>
                <c:pt idx="8">
                  <c:v>282.806176</c:v>
                </c:pt>
              </c:numCache>
            </c:numRef>
          </c:val>
        </c:ser>
        <c:firstSliceAng val="67"/>
        <c:holeSize val="84"/>
      </c:doughnut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971837"/>
          <c:y val="0.784401"/>
          <c:w val="0.902816"/>
          <c:h val="0.21559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Budget vs. Actual</a:t>
            </a:r>
          </a:p>
        </c:rich>
      </c:tx>
      <c:layout>
        <c:manualLayout>
          <c:xMode val="edge"/>
          <c:yMode val="edge"/>
          <c:x val="0.299616"/>
          <c:y val="0"/>
          <c:w val="0.39659"/>
          <c:h val="0.0883386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246897"/>
          <c:y val="0.0883386"/>
          <c:w val="0.748103"/>
          <c:h val="0.5164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'June'!$J$79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[$€-2]#,##0.00_);[Red]\([$€-2]#,##0.00\)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'June'!$I$80:$I$89</c:f>
              <c:strCache>
                <c:ptCount val="10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  <c:pt idx="9">
                  <c:v>Investment</c:v>
                </c:pt>
              </c:strCache>
            </c:strRef>
          </c:cat>
          <c:val>
            <c:numRef>
              <c:f>'June'!$J$80:$J$89</c:f>
              <c:numCache>
                <c:ptCount val="10"/>
                <c:pt idx="0">
                  <c:v>139.200000</c:v>
                </c:pt>
                <c:pt idx="1">
                  <c:v>0.000000</c:v>
                </c:pt>
                <c:pt idx="2">
                  <c:v>287.100000</c:v>
                </c:pt>
                <c:pt idx="3">
                  <c:v>1000.000000</c:v>
                </c:pt>
                <c:pt idx="4">
                  <c:v>0.000000</c:v>
                </c:pt>
                <c:pt idx="5">
                  <c:v>0.000000</c:v>
                </c:pt>
                <c:pt idx="6">
                  <c:v>278.400000</c:v>
                </c:pt>
                <c:pt idx="7">
                  <c:v>81.780000</c:v>
                </c:pt>
                <c:pt idx="8">
                  <c:v>87.000000</c:v>
                </c:pt>
                <c:pt idx="9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'June'!$K$79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[$€-2]#,##0.00_);[Red]\([$€-2]#,##0.00\)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'June'!$I$80:$I$89</c:f>
              <c:strCache>
                <c:ptCount val="10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  <c:pt idx="9">
                  <c:v>Investment</c:v>
                </c:pt>
              </c:strCache>
            </c:strRef>
          </c:cat>
          <c:val>
            <c:numRef>
              <c:f>'June'!$K$80:$K$89</c:f>
              <c:numCache>
                <c:ptCount val="10"/>
                <c:pt idx="0">
                  <c:v>150.566254</c:v>
                </c:pt>
                <c:pt idx="1">
                  <c:v>0.000000</c:v>
                </c:pt>
                <c:pt idx="2">
                  <c:v>502.207440</c:v>
                </c:pt>
                <c:pt idx="3">
                  <c:v>948.500000</c:v>
                </c:pt>
                <c:pt idx="4">
                  <c:v>0.000000</c:v>
                </c:pt>
                <c:pt idx="5">
                  <c:v>49.999943</c:v>
                </c:pt>
                <c:pt idx="6">
                  <c:v>181.436456</c:v>
                </c:pt>
                <c:pt idx="7">
                  <c:v>46.534416</c:v>
                </c:pt>
                <c:pt idx="8">
                  <c:v>282.806176</c:v>
                </c:pt>
                <c:pt idx="9">
                  <c:v>0.000000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[$€-2]#,##0.00_);[Red]\([$€-2]#,##0.00\)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[$€-2]#,##0.00_);[Red]\([$€-2]#,##0.00\)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250"/>
        <c:minorUnit val="1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3948"/>
          <c:y val="0.92933"/>
          <c:w val="0.76052"/>
          <c:h val="0.065786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Actual Summary</a:t>
            </a:r>
          </a:p>
        </c:rich>
      </c:tx>
      <c:layout>
        <c:manualLayout>
          <c:xMode val="edge"/>
          <c:yMode val="edge"/>
          <c:x val="0.300969"/>
          <c:y val="0"/>
          <c:w val="0.339962"/>
          <c:h val="0.158981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76045"/>
          <c:y val="0.158981"/>
          <c:w val="0.589812"/>
          <c:h val="0.520142"/>
        </c:manualLayout>
      </c:layout>
      <c:doughnutChart>
        <c:varyColors val="0"/>
        <c:ser>
          <c:idx val="0"/>
          <c:order val="0"/>
          <c:tx>
            <c:strRef>
              <c:f>'July'!$O$98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3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rgbClr val="929292"/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rgbClr val="F8BA00"/>
              </a:solidFill>
              <a:ln w="12700" cap="flat">
                <a:noFill/>
                <a:miter lim="400000"/>
              </a:ln>
              <a:effectLst/>
            </c:spPr>
          </c:dPt>
          <c:dPt>
            <c:idx val="4"/>
            <c:explosion val="0"/>
            <c:spPr>
              <a:solidFill>
                <a:srgbClr val="FF2600"/>
              </a:solidFill>
              <a:ln w="12700" cap="flat">
                <a:noFill/>
                <a:miter lim="400000"/>
              </a:ln>
              <a:effectLst/>
            </c:spPr>
          </c:dPt>
          <c:dPt>
            <c:idx val="5"/>
            <c:explosion val="0"/>
            <c:spPr>
              <a:solidFill>
                <a:schemeClr val="accent6">
                  <a:satOff val="-20754"/>
                  <a:lumOff val="-16738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6"/>
            <c:explosion val="0"/>
            <c:spPr>
              <a:solidFill>
                <a:srgbClr val="22AEFF"/>
              </a:solidFill>
              <a:ln w="12700" cap="flat">
                <a:noFill/>
                <a:miter lim="400000"/>
              </a:ln>
              <a:effectLst/>
            </c:spPr>
          </c:dPt>
          <c:dPt>
            <c:idx val="7"/>
            <c:explosion val="0"/>
            <c:spPr>
              <a:solidFill>
                <a:srgbClr val="73DD4E"/>
              </a:solidFill>
              <a:ln w="12700" cap="flat">
                <a:noFill/>
                <a:miter lim="400000"/>
              </a:ln>
              <a:effectLst/>
            </c:spPr>
          </c:dPt>
          <c:dPt>
            <c:idx val="8"/>
            <c:explosion val="0"/>
            <c:spPr>
              <a:solidFill>
                <a:srgbClr val="A0A0A0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'July'!$M$99:$M$107</c:f>
              <c:strCache>
                <c:ptCount val="9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</c:strCache>
            </c:strRef>
          </c:cat>
          <c:val>
            <c:numRef>
              <c:f>'July'!$O$99:$O$107</c:f>
              <c:numCache>
                <c:ptCount val="9"/>
                <c:pt idx="0">
                  <c:v>199.935405</c:v>
                </c:pt>
                <c:pt idx="1">
                  <c:v>0.000000</c:v>
                </c:pt>
                <c:pt idx="2">
                  <c:v>517.781763</c:v>
                </c:pt>
                <c:pt idx="3">
                  <c:v>980.000000</c:v>
                </c:pt>
                <c:pt idx="4">
                  <c:v>0.000000</c:v>
                </c:pt>
                <c:pt idx="5">
                  <c:v>128.818940</c:v>
                </c:pt>
                <c:pt idx="6">
                  <c:v>201.453014</c:v>
                </c:pt>
                <c:pt idx="7">
                  <c:v>17.164416</c:v>
                </c:pt>
                <c:pt idx="8">
                  <c:v>0.000000</c:v>
                </c:pt>
              </c:numCache>
            </c:numRef>
          </c:val>
        </c:ser>
        <c:firstSliceAng val="67"/>
        <c:holeSize val="84"/>
      </c:doughnut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959929"/>
          <c:y val="0.784159"/>
          <c:w val="0.904007"/>
          <c:h val="0.21584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Budget vs. Actual</a:t>
            </a:r>
          </a:p>
        </c:rich>
      </c:tx>
      <c:layout>
        <c:manualLayout>
          <c:xMode val="edge"/>
          <c:yMode val="edge"/>
          <c:x val="0.299616"/>
          <c:y val="0"/>
          <c:w val="0.39659"/>
          <c:h val="0.0883386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246897"/>
          <c:y val="0.0883386"/>
          <c:w val="0.748103"/>
          <c:h val="0.5164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'July'!$N$98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[$€-2]#,##0.00_);[Red]\([$€-2]#,##0.00\)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'July'!$M$99:$M$108</c:f>
              <c:strCache>
                <c:ptCount val="10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  <c:pt idx="9">
                  <c:v>Investment</c:v>
                </c:pt>
              </c:strCache>
            </c:strRef>
          </c:cat>
          <c:val>
            <c:numRef>
              <c:f>'July'!$N$99:$N$108</c:f>
              <c:numCache>
                <c:ptCount val="10"/>
                <c:pt idx="0">
                  <c:v>174.000000</c:v>
                </c:pt>
                <c:pt idx="1">
                  <c:v>0.000000</c:v>
                </c:pt>
                <c:pt idx="2">
                  <c:v>356.700000</c:v>
                </c:pt>
                <c:pt idx="3">
                  <c:v>1000.000000</c:v>
                </c:pt>
                <c:pt idx="4">
                  <c:v>0.000000</c:v>
                </c:pt>
                <c:pt idx="5">
                  <c:v>0.000000</c:v>
                </c:pt>
                <c:pt idx="6">
                  <c:v>348.000000</c:v>
                </c:pt>
                <c:pt idx="7">
                  <c:v>81.780000</c:v>
                </c:pt>
                <c:pt idx="8">
                  <c:v>108.750000</c:v>
                </c:pt>
                <c:pt idx="9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'July'!$O$98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[$€-2]#,##0.00_);[Red]\([$€-2]#,##0.00\)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'July'!$M$99:$M$108</c:f>
              <c:strCache>
                <c:ptCount val="10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  <c:pt idx="9">
                  <c:v>Investment</c:v>
                </c:pt>
              </c:strCache>
            </c:strRef>
          </c:cat>
          <c:val>
            <c:numRef>
              <c:f>'July'!$O$99:$O$108</c:f>
              <c:numCache>
                <c:ptCount val="10"/>
                <c:pt idx="0">
                  <c:v>199.935405</c:v>
                </c:pt>
                <c:pt idx="1">
                  <c:v>0.000000</c:v>
                </c:pt>
                <c:pt idx="2">
                  <c:v>517.781763</c:v>
                </c:pt>
                <c:pt idx="3">
                  <c:v>980.000000</c:v>
                </c:pt>
                <c:pt idx="4">
                  <c:v>0.000000</c:v>
                </c:pt>
                <c:pt idx="5">
                  <c:v>128.818940</c:v>
                </c:pt>
                <c:pt idx="6">
                  <c:v>201.453014</c:v>
                </c:pt>
                <c:pt idx="7">
                  <c:v>17.164416</c:v>
                </c:pt>
                <c:pt idx="8">
                  <c:v>0.000000</c:v>
                </c:pt>
                <c:pt idx="9">
                  <c:v>0.000000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[$€-2]#,##0.00_);[Red]\([$€-2]#,##0.00\)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[$€-2]#,##0.00_);[Red]\([$€-2]#,##0.00\)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250"/>
        <c:minorUnit val="1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3948"/>
          <c:y val="0.92933"/>
          <c:w val="0.76052"/>
          <c:h val="0.065786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Actual Summary</a:t>
            </a:r>
          </a:p>
        </c:rich>
      </c:tx>
      <c:layout>
        <c:manualLayout>
          <c:xMode val="edge"/>
          <c:yMode val="edge"/>
          <c:x val="0.296074"/>
          <c:y val="0"/>
          <c:w val="0.342343"/>
          <c:h val="0.153666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70275"/>
          <c:y val="0.153666"/>
          <c:w val="0.593942"/>
          <c:h val="0.523508"/>
        </c:manualLayout>
      </c:layout>
      <c:doughnutChart>
        <c:varyColors val="0"/>
        <c:ser>
          <c:idx val="0"/>
          <c:order val="0"/>
          <c:tx>
            <c:strRef>
              <c:f>'August'!$H$31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3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rgbClr val="929292"/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rgbClr val="F8BA00"/>
              </a:solidFill>
              <a:ln w="12700" cap="flat">
                <a:noFill/>
                <a:miter lim="400000"/>
              </a:ln>
              <a:effectLst/>
            </c:spPr>
          </c:dPt>
          <c:dPt>
            <c:idx val="4"/>
            <c:explosion val="0"/>
            <c:spPr>
              <a:solidFill>
                <a:srgbClr val="FF2600"/>
              </a:solidFill>
              <a:ln w="12700" cap="flat">
                <a:noFill/>
                <a:miter lim="400000"/>
              </a:ln>
              <a:effectLst/>
            </c:spPr>
          </c:dPt>
          <c:dPt>
            <c:idx val="5"/>
            <c:explosion val="0"/>
            <c:spPr>
              <a:solidFill>
                <a:schemeClr val="accent6">
                  <a:satOff val="-20754"/>
                  <a:lumOff val="-16738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6"/>
            <c:explosion val="0"/>
            <c:spPr>
              <a:solidFill>
                <a:srgbClr val="22AEFF"/>
              </a:solidFill>
              <a:ln w="12700" cap="flat">
                <a:noFill/>
                <a:miter lim="400000"/>
              </a:ln>
              <a:effectLst/>
            </c:spPr>
          </c:dPt>
          <c:dPt>
            <c:idx val="7"/>
            <c:explosion val="0"/>
            <c:spPr>
              <a:solidFill>
                <a:srgbClr val="73DD4E"/>
              </a:solidFill>
              <a:ln w="12700" cap="flat">
                <a:noFill/>
                <a:miter lim="400000"/>
              </a:ln>
              <a:effectLst/>
            </c:spPr>
          </c:dPt>
          <c:dPt>
            <c:idx val="8"/>
            <c:explosion val="0"/>
            <c:spPr>
              <a:solidFill>
                <a:srgbClr val="A0A0A0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'August'!$F$32:$F$40</c:f>
              <c:strCache>
                <c:ptCount val="9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</c:strCache>
            </c:strRef>
          </c:cat>
          <c:val>
            <c:numRef>
              <c:f>'August'!$H$32:$H$40</c:f>
              <c:numCache>
                <c:ptCount val="9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</c:numCache>
            </c:numRef>
          </c:val>
        </c:ser>
        <c:firstSliceAng val="67"/>
        <c:holeSize val="84"/>
      </c:doughnut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896625"/>
          <c:y val="0.782874"/>
          <c:w val="0.910337"/>
          <c:h val="0.21712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Budget vs. Actual</a:t>
            </a:r>
          </a:p>
        </c:rich>
      </c:tx>
      <c:layout>
        <c:manualLayout>
          <c:xMode val="edge"/>
          <c:yMode val="edge"/>
          <c:x val="0.299616"/>
          <c:y val="0"/>
          <c:w val="0.39659"/>
          <c:h val="0.0883386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246897"/>
          <c:y val="0.0883386"/>
          <c:w val="0.748103"/>
          <c:h val="0.5164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'August'!$G$31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[$€-2]#,##0.00_);[Red]\([$€-2]#,##0.00\)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'August'!$F$32:$F$41</c:f>
              <c:strCache>
                <c:ptCount val="10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  <c:pt idx="9">
                  <c:v>Investment</c:v>
                </c:pt>
              </c:strCache>
            </c:strRef>
          </c:cat>
          <c:val>
            <c:numRef>
              <c:f>'August'!$G$32:$G$41</c:f>
              <c:numCache>
                <c:ptCount val="10"/>
                <c:pt idx="0">
                  <c:v>139.200000</c:v>
                </c:pt>
                <c:pt idx="1">
                  <c:v>0.000000</c:v>
                </c:pt>
                <c:pt idx="2">
                  <c:v>287.100000</c:v>
                </c:pt>
                <c:pt idx="3">
                  <c:v>1000.000000</c:v>
                </c:pt>
                <c:pt idx="4">
                  <c:v>0.000000</c:v>
                </c:pt>
                <c:pt idx="5">
                  <c:v>0.000000</c:v>
                </c:pt>
                <c:pt idx="6">
                  <c:v>278.400000</c:v>
                </c:pt>
                <c:pt idx="7">
                  <c:v>81.780000</c:v>
                </c:pt>
                <c:pt idx="8">
                  <c:v>87.000000</c:v>
                </c:pt>
                <c:pt idx="9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'August'!$H$31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[$€-2]#,##0.00_);[Red]\([$€-2]#,##0.00\)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'August'!$F$32:$F$41</c:f>
              <c:strCache>
                <c:ptCount val="10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  <c:pt idx="9">
                  <c:v>Investment</c:v>
                </c:pt>
              </c:strCache>
            </c:strRef>
          </c:cat>
          <c:val>
            <c:numRef>
              <c:f>'August'!$H$32:$H$41</c:f>
              <c:numCache>
                <c:ptCount val="10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[$€-2]#,##0.00_);[Red]\([$€-2]#,##0.00\)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[$€-2]#,##0.00_);[Red]\([$€-2]#,##0.00\)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250"/>
        <c:minorUnit val="12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23948"/>
          <c:y val="0.92933"/>
          <c:w val="0.76052"/>
          <c:h val="0.065786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Actual Summary</a:t>
            </a:r>
          </a:p>
        </c:rich>
      </c:tx>
      <c:layout>
        <c:manualLayout>
          <c:xMode val="edge"/>
          <c:yMode val="edge"/>
          <c:x val="0.296074"/>
          <c:y val="0"/>
          <c:w val="0.342343"/>
          <c:h val="0.153666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70275"/>
          <c:y val="0.153666"/>
          <c:w val="0.593942"/>
          <c:h val="0.523508"/>
        </c:manualLayout>
      </c:layout>
      <c:doughnutChart>
        <c:varyColors val="0"/>
        <c:ser>
          <c:idx val="0"/>
          <c:order val="0"/>
          <c:tx>
            <c:strRef>
              <c:f>'September'!$H$31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3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rgbClr val="929292"/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rgbClr val="F8BA00"/>
              </a:solidFill>
              <a:ln w="12700" cap="flat">
                <a:noFill/>
                <a:miter lim="400000"/>
              </a:ln>
              <a:effectLst/>
            </c:spPr>
          </c:dPt>
          <c:dPt>
            <c:idx val="4"/>
            <c:explosion val="0"/>
            <c:spPr>
              <a:solidFill>
                <a:srgbClr val="FF2600"/>
              </a:solidFill>
              <a:ln w="12700" cap="flat">
                <a:noFill/>
                <a:miter lim="400000"/>
              </a:ln>
              <a:effectLst/>
            </c:spPr>
          </c:dPt>
          <c:dPt>
            <c:idx val="5"/>
            <c:explosion val="0"/>
            <c:spPr>
              <a:solidFill>
                <a:schemeClr val="accent6">
                  <a:satOff val="-20754"/>
                  <a:lumOff val="-16738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6"/>
            <c:explosion val="0"/>
            <c:spPr>
              <a:solidFill>
                <a:srgbClr val="22AEFF"/>
              </a:solidFill>
              <a:ln w="12700" cap="flat">
                <a:noFill/>
                <a:miter lim="400000"/>
              </a:ln>
              <a:effectLst/>
            </c:spPr>
          </c:dPt>
          <c:dPt>
            <c:idx val="7"/>
            <c:explosion val="0"/>
            <c:spPr>
              <a:solidFill>
                <a:srgbClr val="73DD4E"/>
              </a:solidFill>
              <a:ln w="12700" cap="flat">
                <a:noFill/>
                <a:miter lim="400000"/>
              </a:ln>
              <a:effectLst/>
            </c:spPr>
          </c:dPt>
          <c:dPt>
            <c:idx val="8"/>
            <c:explosion val="0"/>
            <c:spPr>
              <a:solidFill>
                <a:srgbClr val="A0A0A0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numFmt formatCode="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'September'!$F$32:$F$40</c:f>
              <c:strCache>
                <c:ptCount val="9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</c:strCache>
            </c:strRef>
          </c:cat>
          <c:val>
            <c:numRef>
              <c:f>'September'!$H$32:$H$40</c:f>
              <c:numCache>
                <c:ptCount val="9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</c:numCache>
            </c:numRef>
          </c:val>
        </c:ser>
        <c:firstSliceAng val="67"/>
        <c:holeSize val="84"/>
      </c:doughnutChart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0896625"/>
          <c:y val="0.782874"/>
          <c:w val="0.910337"/>
          <c:h val="0.21712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Budget vs. Actual</a:t>
            </a:r>
          </a:p>
        </c:rich>
      </c:tx>
      <c:layout>
        <c:manualLayout>
          <c:xMode val="edge"/>
          <c:yMode val="edge"/>
          <c:x val="0.281879"/>
          <c:y val="0"/>
          <c:w val="0.431694"/>
          <c:h val="0.0883386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80236"/>
          <c:y val="0.0883386"/>
          <c:w val="0.814764"/>
          <c:h val="0.5164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'September'!$G$31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[$€-2]#,##0.00_);[Red]\([$€-2]#,##0.00\)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'September'!$F$32:$F$41</c:f>
              <c:strCache>
                <c:ptCount val="10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  <c:pt idx="9">
                  <c:v>Investment</c:v>
                </c:pt>
              </c:strCache>
            </c:strRef>
          </c:cat>
          <c:val>
            <c:numRef>
              <c:f>'September'!$G$32:$G$41</c:f>
              <c:numCache>
                <c:ptCount val="9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</c:numCache>
            </c:numRef>
          </c:val>
        </c:ser>
        <c:ser>
          <c:idx val="1"/>
          <c:order val="1"/>
          <c:tx>
            <c:strRef>
              <c:f>'September'!$H$31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[$€-2]#,##0.00_);[Red]\([$€-2]#,##0.00\)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'September'!$F$32:$F$41</c:f>
              <c:strCache>
                <c:ptCount val="10"/>
                <c:pt idx="0">
                  <c:v>Restaurant</c:v>
                </c:pt>
                <c:pt idx="1">
                  <c:v>Sport &amp; Activities</c:v>
                </c:pt>
                <c:pt idx="2">
                  <c:v>Food</c:v>
                </c:pt>
                <c:pt idx="3">
                  <c:v>Home</c:v>
                </c:pt>
                <c:pt idx="4">
                  <c:v>Medical</c:v>
                </c:pt>
                <c:pt idx="5">
                  <c:v>Personal Items</c:v>
                </c:pt>
                <c:pt idx="6">
                  <c:v>Travel &amp; auto</c:v>
                </c:pt>
                <c:pt idx="7">
                  <c:v>Utilities &amp; subscriptions</c:v>
                </c:pt>
                <c:pt idx="8">
                  <c:v>Other</c:v>
                </c:pt>
                <c:pt idx="9">
                  <c:v>Investment</c:v>
                </c:pt>
              </c:strCache>
            </c:strRef>
          </c:cat>
          <c:val>
            <c:numRef>
              <c:f>'September'!$H$32:$H$41</c:f>
              <c:numCache>
                <c:ptCount val="10"/>
                <c:pt idx="0">
                  <c:v>0.000000</c:v>
                </c:pt>
                <c:pt idx="1">
                  <c:v>0.000000</c:v>
                </c:pt>
                <c:pt idx="2">
                  <c:v>0.000000</c:v>
                </c:pt>
                <c:pt idx="3">
                  <c:v>0.000000</c:v>
                </c:pt>
                <c:pt idx="4">
                  <c:v>0.000000</c:v>
                </c:pt>
                <c:pt idx="5">
                  <c:v>0.000000</c:v>
                </c:pt>
                <c:pt idx="6">
                  <c:v>0.000000</c:v>
                </c:pt>
                <c:pt idx="7">
                  <c:v>0.000000</c:v>
                </c:pt>
                <c:pt idx="8">
                  <c:v>0.000000</c:v>
                </c:pt>
                <c:pt idx="9">
                  <c:v>0.000000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[$€-2]#,##0.00_);[Red]\([$€-2]#,##0.00\)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-540000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[$€-2]#,##0.00_);[Red]\([$€-2]#,##0.00\)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"/>
        <c:minorUnit val="0.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172163"/>
          <c:y val="0.92933"/>
          <c:w val="0.827837"/>
          <c:h val="0.0657866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9</xdr:col>
      <xdr:colOff>250888</xdr:colOff>
      <xdr:row>0</xdr:row>
      <xdr:rowOff>3810000</xdr:rowOff>
    </xdr:to>
    <xdr:graphicFrame>
      <xdr:nvGraphicFramePr>
        <xdr:cNvPr id="2" name="2D Column Chart"/>
        <xdr:cNvGraphicFramePr/>
      </xdr:nvGraphicFramePr>
      <xdr:xfrm>
        <a:off x="-1" y="0"/>
        <a:ext cx="10398190" cy="38100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0</xdr:colOff>
      <xdr:row>0</xdr:row>
      <xdr:rowOff>4310012</xdr:rowOff>
    </xdr:from>
    <xdr:to>
      <xdr:col>9</xdr:col>
      <xdr:colOff>594436</xdr:colOff>
      <xdr:row>1</xdr:row>
      <xdr:rowOff>2925712</xdr:rowOff>
    </xdr:to>
    <xdr:graphicFrame>
      <xdr:nvGraphicFramePr>
        <xdr:cNvPr id="3" name="2D Line Chart"/>
        <xdr:cNvGraphicFramePr/>
      </xdr:nvGraphicFramePr>
      <xdr:xfrm>
        <a:off x="-70613" y="4310012"/>
        <a:ext cx="10741738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1068864</xdr:rowOff>
    </xdr:from>
    <xdr:to>
      <xdr:col>0</xdr:col>
      <xdr:colOff>3356278</xdr:colOff>
      <xdr:row>15</xdr:row>
      <xdr:rowOff>89790</xdr:rowOff>
    </xdr:to>
    <xdr:graphicFrame>
      <xdr:nvGraphicFramePr>
        <xdr:cNvPr id="5" name="2D Donut Chart"/>
        <xdr:cNvGraphicFramePr/>
      </xdr:nvGraphicFramePr>
      <xdr:xfrm>
        <a:off x="-23155" y="1068864"/>
        <a:ext cx="3356279" cy="371103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3467481</xdr:colOff>
      <xdr:row>2</xdr:row>
      <xdr:rowOff>40208</xdr:rowOff>
    </xdr:from>
    <xdr:to>
      <xdr:col>0</xdr:col>
      <xdr:colOff>6400800</xdr:colOff>
      <xdr:row>16</xdr:row>
      <xdr:rowOff>94805</xdr:rowOff>
    </xdr:to>
    <xdr:graphicFrame>
      <xdr:nvGraphicFramePr>
        <xdr:cNvPr id="6" name="2D Column Chart"/>
        <xdr:cNvGraphicFramePr/>
      </xdr:nvGraphicFramePr>
      <xdr:xfrm>
        <a:off x="3467481" y="1392123"/>
        <a:ext cx="2933319" cy="364933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6429755</xdr:colOff>
      <xdr:row>0</xdr:row>
      <xdr:rowOff>613410</xdr:rowOff>
    </xdr:to>
    <xdr:sp>
      <xdr:nvSpPr>
        <xdr:cNvPr id="7" name="January"/>
        <xdr:cNvSpPr txBox="1"/>
      </xdr:nvSpPr>
      <xdr:spPr>
        <a:xfrm>
          <a:off x="-22606" y="-40005"/>
          <a:ext cx="6429756" cy="6134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-24" strike="noStrike" sz="2400" u="none">
              <a:solidFill>
                <a:schemeClr val="accent1">
                  <a:hueOff val="114395"/>
                  <a:lumOff val="-24975"/>
                </a:schemeClr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-24" strike="noStrike" sz="2400" u="none">
              <a:solidFill>
                <a:schemeClr val="accent1">
                  <a:hueOff val="114395"/>
                  <a:lumOff val="-24975"/>
                </a:schemeClr>
              </a:solidFill>
              <a:uFillTx/>
              <a:latin typeface="+mn-lt"/>
              <a:ea typeface="+mn-ea"/>
              <a:cs typeface="+mn-cs"/>
              <a:sym typeface="Helvetica Neue"/>
            </a:rPr>
            <a:t>January</a:t>
          </a:r>
        </a:p>
      </xdr:txBody>
    </xdr:sp>
    <xdr:clientData/>
  </xdr:twoCellAnchor>
  <xdr:twoCellAnchor>
    <xdr:from>
      <xdr:col>0</xdr:col>
      <xdr:colOff>7028815</xdr:colOff>
      <xdr:row>0</xdr:row>
      <xdr:rowOff>518794</xdr:rowOff>
    </xdr:from>
    <xdr:to>
      <xdr:col>5</xdr:col>
      <xdr:colOff>9270</xdr:colOff>
      <xdr:row>1</xdr:row>
      <xdr:rowOff>40005</xdr:rowOff>
    </xdr:to>
    <xdr:sp>
      <xdr:nvSpPr>
        <xdr:cNvPr id="8" name="Transactions"/>
        <xdr:cNvSpPr txBox="1"/>
      </xdr:nvSpPr>
      <xdr:spPr>
        <a:xfrm>
          <a:off x="7028815" y="518795"/>
          <a:ext cx="6429756" cy="6134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Transactions</a:t>
          </a:r>
        </a:p>
      </xdr:txBody>
    </xdr:sp>
    <xdr:clientData/>
  </xdr:twoCellAnchor>
  <xdr:twoCellAnchor>
    <xdr:from>
      <xdr:col>0</xdr:col>
      <xdr:colOff>0</xdr:colOff>
      <xdr:row>0</xdr:row>
      <xdr:rowOff>504369</xdr:rowOff>
    </xdr:from>
    <xdr:to>
      <xdr:col>0</xdr:col>
      <xdr:colOff>939927</xdr:colOff>
      <xdr:row>0</xdr:row>
      <xdr:rowOff>949499</xdr:rowOff>
    </xdr:to>
    <xdr:sp>
      <xdr:nvSpPr>
        <xdr:cNvPr id="9" name="Budget"/>
        <xdr:cNvSpPr txBox="1"/>
      </xdr:nvSpPr>
      <xdr:spPr>
        <a:xfrm>
          <a:off x="-19051" y="504369"/>
          <a:ext cx="939928" cy="44513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Budget</a:t>
          </a:r>
        </a:p>
      </xdr:txBody>
    </xdr:sp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62363</xdr:colOff>
      <xdr:row>1</xdr:row>
      <xdr:rowOff>62182</xdr:rowOff>
    </xdr:from>
    <xdr:to>
      <xdr:col>0</xdr:col>
      <xdr:colOff>3333124</xdr:colOff>
      <xdr:row>15</xdr:row>
      <xdr:rowOff>89790</xdr:rowOff>
    </xdr:to>
    <xdr:graphicFrame>
      <xdr:nvGraphicFramePr>
        <xdr:cNvPr id="11" name="2D Donut Chart"/>
        <xdr:cNvGraphicFramePr/>
      </xdr:nvGraphicFramePr>
      <xdr:xfrm>
        <a:off x="62363" y="1154382"/>
        <a:ext cx="3270761" cy="3625519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3538093</xdr:colOff>
      <xdr:row>2</xdr:row>
      <xdr:rowOff>40208</xdr:rowOff>
    </xdr:from>
    <xdr:to>
      <xdr:col>0</xdr:col>
      <xdr:colOff>6400800</xdr:colOff>
      <xdr:row>16</xdr:row>
      <xdr:rowOff>94805</xdr:rowOff>
    </xdr:to>
    <xdr:graphicFrame>
      <xdr:nvGraphicFramePr>
        <xdr:cNvPr id="12" name="2D Column Chart"/>
        <xdr:cNvGraphicFramePr/>
      </xdr:nvGraphicFramePr>
      <xdr:xfrm>
        <a:off x="3538093" y="1392123"/>
        <a:ext cx="2862707" cy="364933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6429755</xdr:colOff>
      <xdr:row>0</xdr:row>
      <xdr:rowOff>613410</xdr:rowOff>
    </xdr:to>
    <xdr:sp>
      <xdr:nvSpPr>
        <xdr:cNvPr id="13" name="January"/>
        <xdr:cNvSpPr txBox="1"/>
      </xdr:nvSpPr>
      <xdr:spPr>
        <a:xfrm>
          <a:off x="-22606" y="-40005"/>
          <a:ext cx="6429756" cy="6134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-24" strike="noStrike" sz="2400" u="none">
              <a:solidFill>
                <a:schemeClr val="accent1">
                  <a:hueOff val="114395"/>
                  <a:lumOff val="-24975"/>
                </a:schemeClr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-24" strike="noStrike" sz="2400" u="none">
              <a:solidFill>
                <a:schemeClr val="accent1">
                  <a:hueOff val="114395"/>
                  <a:lumOff val="-24975"/>
                </a:schemeClr>
              </a:solidFill>
              <a:uFillTx/>
              <a:latin typeface="+mn-lt"/>
              <a:ea typeface="+mn-ea"/>
              <a:cs typeface="+mn-cs"/>
              <a:sym typeface="Helvetica Neue"/>
            </a:rPr>
            <a:t>January</a:t>
          </a:r>
        </a:p>
      </xdr:txBody>
    </xdr:sp>
    <xdr:clientData/>
  </xdr:twoCellAnchor>
  <xdr:twoCellAnchor>
    <xdr:from>
      <xdr:col>0</xdr:col>
      <xdr:colOff>7028815</xdr:colOff>
      <xdr:row>0</xdr:row>
      <xdr:rowOff>518794</xdr:rowOff>
    </xdr:from>
    <xdr:to>
      <xdr:col>5</xdr:col>
      <xdr:colOff>9270</xdr:colOff>
      <xdr:row>1</xdr:row>
      <xdr:rowOff>40005</xdr:rowOff>
    </xdr:to>
    <xdr:sp>
      <xdr:nvSpPr>
        <xdr:cNvPr id="14" name="Transactions"/>
        <xdr:cNvSpPr txBox="1"/>
      </xdr:nvSpPr>
      <xdr:spPr>
        <a:xfrm>
          <a:off x="7028815" y="518795"/>
          <a:ext cx="6429756" cy="6134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Transactions</a:t>
          </a:r>
        </a:p>
      </xdr:txBody>
    </xdr:sp>
    <xdr:clientData/>
  </xdr:twoCellAnchor>
  <xdr:twoCellAnchor>
    <xdr:from>
      <xdr:col>0</xdr:col>
      <xdr:colOff>0</xdr:colOff>
      <xdr:row>0</xdr:row>
      <xdr:rowOff>504369</xdr:rowOff>
    </xdr:from>
    <xdr:to>
      <xdr:col>0</xdr:col>
      <xdr:colOff>939927</xdr:colOff>
      <xdr:row>0</xdr:row>
      <xdr:rowOff>949499</xdr:rowOff>
    </xdr:to>
    <xdr:sp>
      <xdr:nvSpPr>
        <xdr:cNvPr id="15" name="Budget"/>
        <xdr:cNvSpPr txBox="1"/>
      </xdr:nvSpPr>
      <xdr:spPr>
        <a:xfrm>
          <a:off x="-19051" y="504369"/>
          <a:ext cx="939928" cy="44513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Budget</a:t>
          </a:r>
        </a:p>
      </xdr:txBody>
    </xdr:sp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21811</xdr:colOff>
      <xdr:row>1</xdr:row>
      <xdr:rowOff>21630</xdr:rowOff>
    </xdr:from>
    <xdr:to>
      <xdr:col>0</xdr:col>
      <xdr:colOff>3333124</xdr:colOff>
      <xdr:row>15</xdr:row>
      <xdr:rowOff>89790</xdr:rowOff>
    </xdr:to>
    <xdr:graphicFrame>
      <xdr:nvGraphicFramePr>
        <xdr:cNvPr id="17" name="2D Donut Chart"/>
        <xdr:cNvGraphicFramePr/>
      </xdr:nvGraphicFramePr>
      <xdr:xfrm>
        <a:off x="21811" y="1113830"/>
        <a:ext cx="3311313" cy="366607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3467481</xdr:colOff>
      <xdr:row>2</xdr:row>
      <xdr:rowOff>40208</xdr:rowOff>
    </xdr:from>
    <xdr:to>
      <xdr:col>0</xdr:col>
      <xdr:colOff>6400800</xdr:colOff>
      <xdr:row>16</xdr:row>
      <xdr:rowOff>94805</xdr:rowOff>
    </xdr:to>
    <xdr:graphicFrame>
      <xdr:nvGraphicFramePr>
        <xdr:cNvPr id="18" name="2D Column Chart"/>
        <xdr:cNvGraphicFramePr/>
      </xdr:nvGraphicFramePr>
      <xdr:xfrm>
        <a:off x="3467481" y="1392123"/>
        <a:ext cx="2933319" cy="364933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6429755</xdr:colOff>
      <xdr:row>0</xdr:row>
      <xdr:rowOff>613410</xdr:rowOff>
    </xdr:to>
    <xdr:sp>
      <xdr:nvSpPr>
        <xdr:cNvPr id="19" name="March"/>
        <xdr:cNvSpPr txBox="1"/>
      </xdr:nvSpPr>
      <xdr:spPr>
        <a:xfrm>
          <a:off x="-22606" y="-40005"/>
          <a:ext cx="6429756" cy="6134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-24" strike="noStrike" sz="2400" u="none">
              <a:solidFill>
                <a:schemeClr val="accent1">
                  <a:hueOff val="114395"/>
                  <a:lumOff val="-24975"/>
                </a:schemeClr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-24" strike="noStrike" sz="2400" u="none">
              <a:solidFill>
                <a:schemeClr val="accent1">
                  <a:hueOff val="114395"/>
                  <a:lumOff val="-24975"/>
                </a:schemeClr>
              </a:solidFill>
              <a:uFillTx/>
              <a:latin typeface="+mn-lt"/>
              <a:ea typeface="+mn-ea"/>
              <a:cs typeface="+mn-cs"/>
              <a:sym typeface="Helvetica Neue"/>
            </a:rPr>
            <a:t>March</a:t>
          </a:r>
        </a:p>
      </xdr:txBody>
    </xdr:sp>
    <xdr:clientData/>
  </xdr:twoCellAnchor>
  <xdr:twoCellAnchor>
    <xdr:from>
      <xdr:col>0</xdr:col>
      <xdr:colOff>7028815</xdr:colOff>
      <xdr:row>0</xdr:row>
      <xdr:rowOff>518794</xdr:rowOff>
    </xdr:from>
    <xdr:to>
      <xdr:col>5</xdr:col>
      <xdr:colOff>9270</xdr:colOff>
      <xdr:row>1</xdr:row>
      <xdr:rowOff>40005</xdr:rowOff>
    </xdr:to>
    <xdr:sp>
      <xdr:nvSpPr>
        <xdr:cNvPr id="20" name="Transactions"/>
        <xdr:cNvSpPr txBox="1"/>
      </xdr:nvSpPr>
      <xdr:spPr>
        <a:xfrm>
          <a:off x="7028815" y="518795"/>
          <a:ext cx="6429756" cy="6134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Transactions</a:t>
          </a:r>
        </a:p>
      </xdr:txBody>
    </xdr:sp>
    <xdr:clientData/>
  </xdr:twoCellAnchor>
  <xdr:twoCellAnchor>
    <xdr:from>
      <xdr:col>0</xdr:col>
      <xdr:colOff>0</xdr:colOff>
      <xdr:row>0</xdr:row>
      <xdr:rowOff>504369</xdr:rowOff>
    </xdr:from>
    <xdr:to>
      <xdr:col>0</xdr:col>
      <xdr:colOff>939927</xdr:colOff>
      <xdr:row>0</xdr:row>
      <xdr:rowOff>949499</xdr:rowOff>
    </xdr:to>
    <xdr:sp>
      <xdr:nvSpPr>
        <xdr:cNvPr id="21" name="Budget"/>
        <xdr:cNvSpPr txBox="1"/>
      </xdr:nvSpPr>
      <xdr:spPr>
        <a:xfrm>
          <a:off x="-19051" y="504369"/>
          <a:ext cx="939928" cy="44513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Budget</a:t>
          </a:r>
        </a:p>
      </xdr:txBody>
    </xdr:sp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1013543</xdr:rowOff>
    </xdr:from>
    <xdr:to>
      <xdr:col>0</xdr:col>
      <xdr:colOff>3411599</xdr:colOff>
      <xdr:row>15</xdr:row>
      <xdr:rowOff>89790</xdr:rowOff>
    </xdr:to>
    <xdr:graphicFrame>
      <xdr:nvGraphicFramePr>
        <xdr:cNvPr id="23" name="2D Donut Chart"/>
        <xdr:cNvGraphicFramePr/>
      </xdr:nvGraphicFramePr>
      <xdr:xfrm>
        <a:off x="-78476" y="1013543"/>
        <a:ext cx="3411600" cy="376635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3361563</xdr:colOff>
      <xdr:row>2</xdr:row>
      <xdr:rowOff>40208</xdr:rowOff>
    </xdr:from>
    <xdr:to>
      <xdr:col>0</xdr:col>
      <xdr:colOff>6400800</xdr:colOff>
      <xdr:row>16</xdr:row>
      <xdr:rowOff>94805</xdr:rowOff>
    </xdr:to>
    <xdr:graphicFrame>
      <xdr:nvGraphicFramePr>
        <xdr:cNvPr id="24" name="2D Column Chart"/>
        <xdr:cNvGraphicFramePr/>
      </xdr:nvGraphicFramePr>
      <xdr:xfrm>
        <a:off x="3361563" y="1392123"/>
        <a:ext cx="3039237" cy="364933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6429755</xdr:colOff>
      <xdr:row>0</xdr:row>
      <xdr:rowOff>613410</xdr:rowOff>
    </xdr:to>
    <xdr:sp>
      <xdr:nvSpPr>
        <xdr:cNvPr id="25" name="January"/>
        <xdr:cNvSpPr txBox="1"/>
      </xdr:nvSpPr>
      <xdr:spPr>
        <a:xfrm>
          <a:off x="-22606" y="-40005"/>
          <a:ext cx="6429756" cy="6134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-24" strike="noStrike" sz="2400" u="none">
              <a:solidFill>
                <a:schemeClr val="accent1">
                  <a:hueOff val="114395"/>
                  <a:lumOff val="-24975"/>
                </a:schemeClr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-24" strike="noStrike" sz="2400" u="none">
              <a:solidFill>
                <a:schemeClr val="accent1">
                  <a:hueOff val="114395"/>
                  <a:lumOff val="-24975"/>
                </a:schemeClr>
              </a:solidFill>
              <a:uFillTx/>
              <a:latin typeface="+mn-lt"/>
              <a:ea typeface="+mn-ea"/>
              <a:cs typeface="+mn-cs"/>
              <a:sym typeface="Helvetica Neue"/>
            </a:rPr>
            <a:t>January</a:t>
          </a:r>
        </a:p>
      </xdr:txBody>
    </xdr:sp>
    <xdr:clientData/>
  </xdr:twoCellAnchor>
  <xdr:twoCellAnchor>
    <xdr:from>
      <xdr:col>0</xdr:col>
      <xdr:colOff>7028815</xdr:colOff>
      <xdr:row>0</xdr:row>
      <xdr:rowOff>518794</xdr:rowOff>
    </xdr:from>
    <xdr:to>
      <xdr:col>5</xdr:col>
      <xdr:colOff>9270</xdr:colOff>
      <xdr:row>1</xdr:row>
      <xdr:rowOff>40005</xdr:rowOff>
    </xdr:to>
    <xdr:sp>
      <xdr:nvSpPr>
        <xdr:cNvPr id="26" name="Transactions"/>
        <xdr:cNvSpPr txBox="1"/>
      </xdr:nvSpPr>
      <xdr:spPr>
        <a:xfrm>
          <a:off x="7028815" y="518795"/>
          <a:ext cx="6429756" cy="6134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Transactions</a:t>
          </a:r>
        </a:p>
      </xdr:txBody>
    </xdr:sp>
    <xdr:clientData/>
  </xdr:twoCellAnchor>
  <xdr:twoCellAnchor>
    <xdr:from>
      <xdr:col>0</xdr:col>
      <xdr:colOff>0</xdr:colOff>
      <xdr:row>0</xdr:row>
      <xdr:rowOff>504369</xdr:rowOff>
    </xdr:from>
    <xdr:to>
      <xdr:col>0</xdr:col>
      <xdr:colOff>939927</xdr:colOff>
      <xdr:row>0</xdr:row>
      <xdr:rowOff>949499</xdr:rowOff>
    </xdr:to>
    <xdr:sp>
      <xdr:nvSpPr>
        <xdr:cNvPr id="27" name="Budget"/>
        <xdr:cNvSpPr txBox="1"/>
      </xdr:nvSpPr>
      <xdr:spPr>
        <a:xfrm>
          <a:off x="-19051" y="504369"/>
          <a:ext cx="939928" cy="44513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Budget</a:t>
          </a:r>
        </a:p>
      </xdr:txBody>
    </xdr:sp>
    <xdr:clientData/>
  </xdr:twoCellAnchor>
</xdr:wsDr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30322</xdr:colOff>
      <xdr:row>1</xdr:row>
      <xdr:rowOff>30141</xdr:rowOff>
    </xdr:from>
    <xdr:to>
      <xdr:col>0</xdr:col>
      <xdr:colOff>3333124</xdr:colOff>
      <xdr:row>14</xdr:row>
      <xdr:rowOff>346330</xdr:rowOff>
    </xdr:to>
    <xdr:graphicFrame>
      <xdr:nvGraphicFramePr>
        <xdr:cNvPr id="29" name="2D Donut Chart"/>
        <xdr:cNvGraphicFramePr/>
      </xdr:nvGraphicFramePr>
      <xdr:xfrm>
        <a:off x="30322" y="1122341"/>
        <a:ext cx="3302802" cy="365756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3361563</xdr:colOff>
      <xdr:row>2</xdr:row>
      <xdr:rowOff>40208</xdr:rowOff>
    </xdr:from>
    <xdr:to>
      <xdr:col>0</xdr:col>
      <xdr:colOff>6400800</xdr:colOff>
      <xdr:row>15</xdr:row>
      <xdr:rowOff>198945</xdr:rowOff>
    </xdr:to>
    <xdr:graphicFrame>
      <xdr:nvGraphicFramePr>
        <xdr:cNvPr id="30" name="2D Column Chart"/>
        <xdr:cNvGraphicFramePr/>
      </xdr:nvGraphicFramePr>
      <xdr:xfrm>
        <a:off x="3361563" y="1392123"/>
        <a:ext cx="3039237" cy="364933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6429755</xdr:colOff>
      <xdr:row>0</xdr:row>
      <xdr:rowOff>613410</xdr:rowOff>
    </xdr:to>
    <xdr:sp>
      <xdr:nvSpPr>
        <xdr:cNvPr id="31" name="January"/>
        <xdr:cNvSpPr txBox="1"/>
      </xdr:nvSpPr>
      <xdr:spPr>
        <a:xfrm>
          <a:off x="-22606" y="-40005"/>
          <a:ext cx="6429756" cy="6134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-24" strike="noStrike" sz="2400" u="none">
              <a:solidFill>
                <a:schemeClr val="accent1">
                  <a:hueOff val="114395"/>
                  <a:lumOff val="-24975"/>
                </a:schemeClr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-24" strike="noStrike" sz="2400" u="none">
              <a:solidFill>
                <a:schemeClr val="accent1">
                  <a:hueOff val="114395"/>
                  <a:lumOff val="-24975"/>
                </a:schemeClr>
              </a:solidFill>
              <a:uFillTx/>
              <a:latin typeface="+mn-lt"/>
              <a:ea typeface="+mn-ea"/>
              <a:cs typeface="+mn-cs"/>
              <a:sym typeface="Helvetica Neue"/>
            </a:rPr>
            <a:t>January</a:t>
          </a:r>
        </a:p>
      </xdr:txBody>
    </xdr:sp>
    <xdr:clientData/>
  </xdr:twoCellAnchor>
  <xdr:twoCellAnchor>
    <xdr:from>
      <xdr:col>0</xdr:col>
      <xdr:colOff>7028815</xdr:colOff>
      <xdr:row>0</xdr:row>
      <xdr:rowOff>518794</xdr:rowOff>
    </xdr:from>
    <xdr:to>
      <xdr:col>5</xdr:col>
      <xdr:colOff>9270</xdr:colOff>
      <xdr:row>1</xdr:row>
      <xdr:rowOff>40005</xdr:rowOff>
    </xdr:to>
    <xdr:sp>
      <xdr:nvSpPr>
        <xdr:cNvPr id="32" name="Transactions"/>
        <xdr:cNvSpPr txBox="1"/>
      </xdr:nvSpPr>
      <xdr:spPr>
        <a:xfrm>
          <a:off x="7028815" y="518795"/>
          <a:ext cx="6429756" cy="6134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Transactions</a:t>
          </a:r>
        </a:p>
      </xdr:txBody>
    </xdr:sp>
    <xdr:clientData/>
  </xdr:twoCellAnchor>
  <xdr:twoCellAnchor>
    <xdr:from>
      <xdr:col>0</xdr:col>
      <xdr:colOff>0</xdr:colOff>
      <xdr:row>0</xdr:row>
      <xdr:rowOff>504369</xdr:rowOff>
    </xdr:from>
    <xdr:to>
      <xdr:col>0</xdr:col>
      <xdr:colOff>939927</xdr:colOff>
      <xdr:row>0</xdr:row>
      <xdr:rowOff>949499</xdr:rowOff>
    </xdr:to>
    <xdr:sp>
      <xdr:nvSpPr>
        <xdr:cNvPr id="33" name="Budget"/>
        <xdr:cNvSpPr txBox="1"/>
      </xdr:nvSpPr>
      <xdr:spPr>
        <a:xfrm>
          <a:off x="-19051" y="504369"/>
          <a:ext cx="939928" cy="44513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Budget</a:t>
          </a:r>
        </a:p>
      </xdr:txBody>
    </xdr:sp>
    <xdr:clientData/>
  </xdr:twoCellAnchor>
</xdr:wsDr>
</file>

<file path=xl/drawings/drawing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23557</xdr:colOff>
      <xdr:row>1</xdr:row>
      <xdr:rowOff>195462</xdr:rowOff>
    </xdr:from>
    <xdr:to>
      <xdr:col>0</xdr:col>
      <xdr:colOff>3333124</xdr:colOff>
      <xdr:row>16</xdr:row>
      <xdr:rowOff>5335</xdr:rowOff>
    </xdr:to>
    <xdr:graphicFrame>
      <xdr:nvGraphicFramePr>
        <xdr:cNvPr id="35" name="2D Donut Chart"/>
        <xdr:cNvGraphicFramePr/>
      </xdr:nvGraphicFramePr>
      <xdr:xfrm>
        <a:off x="23557" y="1115577"/>
        <a:ext cx="3309567" cy="3664324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3361563</xdr:colOff>
      <xdr:row>2</xdr:row>
      <xdr:rowOff>212293</xdr:rowOff>
    </xdr:from>
    <xdr:to>
      <xdr:col>0</xdr:col>
      <xdr:colOff>6400800</xdr:colOff>
      <xdr:row>17</xdr:row>
      <xdr:rowOff>10350</xdr:rowOff>
    </xdr:to>
    <xdr:graphicFrame>
      <xdr:nvGraphicFramePr>
        <xdr:cNvPr id="36" name="2D Column Chart"/>
        <xdr:cNvGraphicFramePr/>
      </xdr:nvGraphicFramePr>
      <xdr:xfrm>
        <a:off x="3361563" y="1392123"/>
        <a:ext cx="3039237" cy="364933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6429755</xdr:colOff>
      <xdr:row>0</xdr:row>
      <xdr:rowOff>613410</xdr:rowOff>
    </xdr:to>
    <xdr:sp>
      <xdr:nvSpPr>
        <xdr:cNvPr id="37" name="January"/>
        <xdr:cNvSpPr txBox="1"/>
      </xdr:nvSpPr>
      <xdr:spPr>
        <a:xfrm>
          <a:off x="-22606" y="-40005"/>
          <a:ext cx="6429756" cy="6134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-24" strike="noStrike" sz="2400" u="none">
              <a:solidFill>
                <a:schemeClr val="accent1">
                  <a:hueOff val="114395"/>
                  <a:lumOff val="-24975"/>
                </a:schemeClr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-24" strike="noStrike" sz="2400" u="none">
              <a:solidFill>
                <a:schemeClr val="accent1">
                  <a:hueOff val="114395"/>
                  <a:lumOff val="-24975"/>
                </a:schemeClr>
              </a:solidFill>
              <a:uFillTx/>
              <a:latin typeface="+mn-lt"/>
              <a:ea typeface="+mn-ea"/>
              <a:cs typeface="+mn-cs"/>
              <a:sym typeface="Helvetica Neue"/>
            </a:rPr>
            <a:t>January</a:t>
          </a:r>
        </a:p>
      </xdr:txBody>
    </xdr:sp>
    <xdr:clientData/>
  </xdr:twoCellAnchor>
  <xdr:twoCellAnchor>
    <xdr:from>
      <xdr:col>0</xdr:col>
      <xdr:colOff>7028815</xdr:colOff>
      <xdr:row>0</xdr:row>
      <xdr:rowOff>518794</xdr:rowOff>
    </xdr:from>
    <xdr:to>
      <xdr:col>5</xdr:col>
      <xdr:colOff>9270</xdr:colOff>
      <xdr:row>1</xdr:row>
      <xdr:rowOff>212090</xdr:rowOff>
    </xdr:to>
    <xdr:sp>
      <xdr:nvSpPr>
        <xdr:cNvPr id="38" name="Transactions"/>
        <xdr:cNvSpPr txBox="1"/>
      </xdr:nvSpPr>
      <xdr:spPr>
        <a:xfrm>
          <a:off x="7028815" y="518795"/>
          <a:ext cx="6429756" cy="6134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Transactions</a:t>
          </a:r>
        </a:p>
      </xdr:txBody>
    </xdr:sp>
    <xdr:clientData/>
  </xdr:twoCellAnchor>
  <xdr:twoCellAnchor>
    <xdr:from>
      <xdr:col>0</xdr:col>
      <xdr:colOff>0</xdr:colOff>
      <xdr:row>0</xdr:row>
      <xdr:rowOff>504369</xdr:rowOff>
    </xdr:from>
    <xdr:to>
      <xdr:col>0</xdr:col>
      <xdr:colOff>939927</xdr:colOff>
      <xdr:row>1</xdr:row>
      <xdr:rowOff>29384</xdr:rowOff>
    </xdr:to>
    <xdr:sp>
      <xdr:nvSpPr>
        <xdr:cNvPr id="39" name="Budget"/>
        <xdr:cNvSpPr txBox="1"/>
      </xdr:nvSpPr>
      <xdr:spPr>
        <a:xfrm>
          <a:off x="-19051" y="504369"/>
          <a:ext cx="939928" cy="44513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Budget</a:t>
          </a:r>
        </a:p>
      </xdr:txBody>
    </xdr:sp>
    <xdr:clientData/>
  </xdr:twoCellAnchor>
</xdr:wsDr>
</file>

<file path=xl/drawings/drawing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27917</xdr:colOff>
      <xdr:row>0</xdr:row>
      <xdr:rowOff>1119936</xdr:rowOff>
    </xdr:from>
    <xdr:to>
      <xdr:col>0</xdr:col>
      <xdr:colOff>3333124</xdr:colOff>
      <xdr:row>14</xdr:row>
      <xdr:rowOff>200915</xdr:rowOff>
    </xdr:to>
    <xdr:graphicFrame>
      <xdr:nvGraphicFramePr>
        <xdr:cNvPr id="41" name="2D Donut Chart"/>
        <xdr:cNvGraphicFramePr/>
      </xdr:nvGraphicFramePr>
      <xdr:xfrm>
        <a:off x="27917" y="1119936"/>
        <a:ext cx="3305207" cy="3659965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3361563</xdr:colOff>
      <xdr:row>1</xdr:row>
      <xdr:rowOff>154508</xdr:rowOff>
    </xdr:from>
    <xdr:to>
      <xdr:col>0</xdr:col>
      <xdr:colOff>6400800</xdr:colOff>
      <xdr:row>15</xdr:row>
      <xdr:rowOff>205930</xdr:rowOff>
    </xdr:to>
    <xdr:graphicFrame>
      <xdr:nvGraphicFramePr>
        <xdr:cNvPr id="42" name="2D Column Chart"/>
        <xdr:cNvGraphicFramePr/>
      </xdr:nvGraphicFramePr>
      <xdr:xfrm>
        <a:off x="3361563" y="1392123"/>
        <a:ext cx="3039237" cy="364933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6429755</xdr:colOff>
      <xdr:row>0</xdr:row>
      <xdr:rowOff>613410</xdr:rowOff>
    </xdr:to>
    <xdr:sp>
      <xdr:nvSpPr>
        <xdr:cNvPr id="43" name="January"/>
        <xdr:cNvSpPr txBox="1"/>
      </xdr:nvSpPr>
      <xdr:spPr>
        <a:xfrm>
          <a:off x="-22606" y="-40005"/>
          <a:ext cx="6429756" cy="6134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-24" strike="noStrike" sz="2400" u="none">
              <a:solidFill>
                <a:schemeClr val="accent1">
                  <a:hueOff val="114395"/>
                  <a:lumOff val="-24975"/>
                </a:schemeClr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-24" strike="noStrike" sz="2400" u="none">
              <a:solidFill>
                <a:schemeClr val="accent1">
                  <a:hueOff val="114395"/>
                  <a:lumOff val="-24975"/>
                </a:schemeClr>
              </a:solidFill>
              <a:uFillTx/>
              <a:latin typeface="+mn-lt"/>
              <a:ea typeface="+mn-ea"/>
              <a:cs typeface="+mn-cs"/>
              <a:sym typeface="Helvetica Neue"/>
            </a:rPr>
            <a:t>January</a:t>
          </a:r>
        </a:p>
      </xdr:txBody>
    </xdr:sp>
    <xdr:clientData/>
  </xdr:twoCellAnchor>
  <xdr:twoCellAnchor>
    <xdr:from>
      <xdr:col>0</xdr:col>
      <xdr:colOff>7028815</xdr:colOff>
      <xdr:row>0</xdr:row>
      <xdr:rowOff>518794</xdr:rowOff>
    </xdr:from>
    <xdr:to>
      <xdr:col>4</xdr:col>
      <xdr:colOff>1533270</xdr:colOff>
      <xdr:row>0</xdr:row>
      <xdr:rowOff>1132205</xdr:rowOff>
    </xdr:to>
    <xdr:sp>
      <xdr:nvSpPr>
        <xdr:cNvPr id="44" name="Transactions"/>
        <xdr:cNvSpPr txBox="1"/>
      </xdr:nvSpPr>
      <xdr:spPr>
        <a:xfrm>
          <a:off x="7028815" y="518795"/>
          <a:ext cx="6429756" cy="6134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Transactions</a:t>
          </a:r>
        </a:p>
      </xdr:txBody>
    </xdr:sp>
    <xdr:clientData/>
  </xdr:twoCellAnchor>
  <xdr:twoCellAnchor>
    <xdr:from>
      <xdr:col>0</xdr:col>
      <xdr:colOff>0</xdr:colOff>
      <xdr:row>0</xdr:row>
      <xdr:rowOff>504369</xdr:rowOff>
    </xdr:from>
    <xdr:to>
      <xdr:col>0</xdr:col>
      <xdr:colOff>939927</xdr:colOff>
      <xdr:row>0</xdr:row>
      <xdr:rowOff>949499</xdr:rowOff>
    </xdr:to>
    <xdr:sp>
      <xdr:nvSpPr>
        <xdr:cNvPr id="45" name="Budget"/>
        <xdr:cNvSpPr txBox="1"/>
      </xdr:nvSpPr>
      <xdr:spPr>
        <a:xfrm>
          <a:off x="-19051" y="504369"/>
          <a:ext cx="939928" cy="44513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Budget</a:t>
          </a:r>
        </a:p>
      </xdr:txBody>
    </xdr:sp>
    <xdr:clientData/>
  </xdr:twoCellAnchor>
</xdr:wsDr>
</file>

<file path=xl/drawings/drawing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50901</xdr:colOff>
      <xdr:row>1</xdr:row>
      <xdr:rowOff>50720</xdr:rowOff>
    </xdr:from>
    <xdr:to>
      <xdr:col>0</xdr:col>
      <xdr:colOff>3333124</xdr:colOff>
      <xdr:row>15</xdr:row>
      <xdr:rowOff>89790</xdr:rowOff>
    </xdr:to>
    <xdr:graphicFrame>
      <xdr:nvGraphicFramePr>
        <xdr:cNvPr id="47" name="2D Donut Chart"/>
        <xdr:cNvGraphicFramePr/>
      </xdr:nvGraphicFramePr>
      <xdr:xfrm>
        <a:off x="50901" y="1142920"/>
        <a:ext cx="3282223" cy="363698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3361563</xdr:colOff>
      <xdr:row>2</xdr:row>
      <xdr:rowOff>40208</xdr:rowOff>
    </xdr:from>
    <xdr:to>
      <xdr:col>0</xdr:col>
      <xdr:colOff>6400800</xdr:colOff>
      <xdr:row>16</xdr:row>
      <xdr:rowOff>94805</xdr:rowOff>
    </xdr:to>
    <xdr:graphicFrame>
      <xdr:nvGraphicFramePr>
        <xdr:cNvPr id="48" name="2D Column Chart"/>
        <xdr:cNvGraphicFramePr/>
      </xdr:nvGraphicFramePr>
      <xdr:xfrm>
        <a:off x="3361563" y="1392123"/>
        <a:ext cx="3039237" cy="364933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6429755</xdr:colOff>
      <xdr:row>0</xdr:row>
      <xdr:rowOff>613410</xdr:rowOff>
    </xdr:to>
    <xdr:sp>
      <xdr:nvSpPr>
        <xdr:cNvPr id="49" name="January"/>
        <xdr:cNvSpPr txBox="1"/>
      </xdr:nvSpPr>
      <xdr:spPr>
        <a:xfrm>
          <a:off x="-22606" y="-40005"/>
          <a:ext cx="6429756" cy="6134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-24" strike="noStrike" sz="2400" u="none">
              <a:solidFill>
                <a:schemeClr val="accent1">
                  <a:hueOff val="114395"/>
                  <a:lumOff val="-24975"/>
                </a:schemeClr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-24" strike="noStrike" sz="2400" u="none">
              <a:solidFill>
                <a:schemeClr val="accent1">
                  <a:hueOff val="114395"/>
                  <a:lumOff val="-24975"/>
                </a:schemeClr>
              </a:solidFill>
              <a:uFillTx/>
              <a:latin typeface="+mn-lt"/>
              <a:ea typeface="+mn-ea"/>
              <a:cs typeface="+mn-cs"/>
              <a:sym typeface="Helvetica Neue"/>
            </a:rPr>
            <a:t>January</a:t>
          </a:r>
        </a:p>
      </xdr:txBody>
    </xdr:sp>
    <xdr:clientData/>
  </xdr:twoCellAnchor>
  <xdr:twoCellAnchor>
    <xdr:from>
      <xdr:col>0</xdr:col>
      <xdr:colOff>7028815</xdr:colOff>
      <xdr:row>0</xdr:row>
      <xdr:rowOff>518794</xdr:rowOff>
    </xdr:from>
    <xdr:to>
      <xdr:col>5</xdr:col>
      <xdr:colOff>9270</xdr:colOff>
      <xdr:row>1</xdr:row>
      <xdr:rowOff>40005</xdr:rowOff>
    </xdr:to>
    <xdr:sp>
      <xdr:nvSpPr>
        <xdr:cNvPr id="50" name="Transactions"/>
        <xdr:cNvSpPr txBox="1"/>
      </xdr:nvSpPr>
      <xdr:spPr>
        <a:xfrm>
          <a:off x="7028815" y="518795"/>
          <a:ext cx="6429756" cy="6134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Transactions</a:t>
          </a:r>
        </a:p>
      </xdr:txBody>
    </xdr:sp>
    <xdr:clientData/>
  </xdr:twoCellAnchor>
  <xdr:twoCellAnchor>
    <xdr:from>
      <xdr:col>0</xdr:col>
      <xdr:colOff>0</xdr:colOff>
      <xdr:row>0</xdr:row>
      <xdr:rowOff>504369</xdr:rowOff>
    </xdr:from>
    <xdr:to>
      <xdr:col>0</xdr:col>
      <xdr:colOff>939927</xdr:colOff>
      <xdr:row>0</xdr:row>
      <xdr:rowOff>949499</xdr:rowOff>
    </xdr:to>
    <xdr:sp>
      <xdr:nvSpPr>
        <xdr:cNvPr id="51" name="Budget"/>
        <xdr:cNvSpPr txBox="1"/>
      </xdr:nvSpPr>
      <xdr:spPr>
        <a:xfrm>
          <a:off x="-19051" y="504369"/>
          <a:ext cx="939928" cy="44513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Budget</a:t>
          </a:r>
        </a:p>
      </xdr:txBody>
    </xdr:sp>
    <xdr:clientData/>
  </xdr:twoCellAnchor>
</xdr:wsDr>
</file>

<file path=xl/drawings/drawing1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50901</xdr:colOff>
      <xdr:row>1</xdr:row>
      <xdr:rowOff>50720</xdr:rowOff>
    </xdr:from>
    <xdr:to>
      <xdr:col>0</xdr:col>
      <xdr:colOff>3333124</xdr:colOff>
      <xdr:row>15</xdr:row>
      <xdr:rowOff>89790</xdr:rowOff>
    </xdr:to>
    <xdr:graphicFrame>
      <xdr:nvGraphicFramePr>
        <xdr:cNvPr id="53" name="2D Donut Chart"/>
        <xdr:cNvGraphicFramePr/>
      </xdr:nvGraphicFramePr>
      <xdr:xfrm>
        <a:off x="50901" y="1142920"/>
        <a:ext cx="3282223" cy="363698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3608705</xdr:colOff>
      <xdr:row>2</xdr:row>
      <xdr:rowOff>40208</xdr:rowOff>
    </xdr:from>
    <xdr:to>
      <xdr:col>0</xdr:col>
      <xdr:colOff>6400800</xdr:colOff>
      <xdr:row>16</xdr:row>
      <xdr:rowOff>94805</xdr:rowOff>
    </xdr:to>
    <xdr:graphicFrame>
      <xdr:nvGraphicFramePr>
        <xdr:cNvPr id="54" name="2D Column Chart"/>
        <xdr:cNvGraphicFramePr/>
      </xdr:nvGraphicFramePr>
      <xdr:xfrm>
        <a:off x="3608705" y="1392123"/>
        <a:ext cx="2792095" cy="364933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6429755</xdr:colOff>
      <xdr:row>0</xdr:row>
      <xdr:rowOff>613410</xdr:rowOff>
    </xdr:to>
    <xdr:sp>
      <xdr:nvSpPr>
        <xdr:cNvPr id="55" name="January"/>
        <xdr:cNvSpPr txBox="1"/>
      </xdr:nvSpPr>
      <xdr:spPr>
        <a:xfrm>
          <a:off x="-22606" y="-40005"/>
          <a:ext cx="6429756" cy="6134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1200"/>
            </a:spcBef>
            <a:spcAft>
              <a:spcPts val="0"/>
            </a:spcAft>
            <a:buClrTx/>
            <a:buSzTx/>
            <a:buFontTx/>
            <a:buNone/>
            <a:defRPr b="1" baseline="0" cap="none" i="0" spc="-24" strike="noStrike" sz="2400" u="none">
              <a:solidFill>
                <a:schemeClr val="accent1">
                  <a:hueOff val="114395"/>
                  <a:lumOff val="-24975"/>
                </a:schemeClr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-24" strike="noStrike" sz="2400" u="none">
              <a:solidFill>
                <a:schemeClr val="accent1">
                  <a:hueOff val="114395"/>
                  <a:lumOff val="-24975"/>
                </a:schemeClr>
              </a:solidFill>
              <a:uFillTx/>
              <a:latin typeface="+mn-lt"/>
              <a:ea typeface="+mn-ea"/>
              <a:cs typeface="+mn-cs"/>
              <a:sym typeface="Helvetica Neue"/>
            </a:rPr>
            <a:t>January</a:t>
          </a:r>
        </a:p>
      </xdr:txBody>
    </xdr:sp>
    <xdr:clientData/>
  </xdr:twoCellAnchor>
  <xdr:twoCellAnchor>
    <xdr:from>
      <xdr:col>0</xdr:col>
      <xdr:colOff>7028815</xdr:colOff>
      <xdr:row>0</xdr:row>
      <xdr:rowOff>518794</xdr:rowOff>
    </xdr:from>
    <xdr:to>
      <xdr:col>5</xdr:col>
      <xdr:colOff>9270</xdr:colOff>
      <xdr:row>1</xdr:row>
      <xdr:rowOff>40005</xdr:rowOff>
    </xdr:to>
    <xdr:sp>
      <xdr:nvSpPr>
        <xdr:cNvPr id="56" name="Transactions"/>
        <xdr:cNvSpPr txBox="1"/>
      </xdr:nvSpPr>
      <xdr:spPr>
        <a:xfrm>
          <a:off x="7028815" y="518795"/>
          <a:ext cx="6429756" cy="613410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Transactions</a:t>
          </a:r>
        </a:p>
      </xdr:txBody>
    </xdr:sp>
    <xdr:clientData/>
  </xdr:twoCellAnchor>
  <xdr:twoCellAnchor>
    <xdr:from>
      <xdr:col>0</xdr:col>
      <xdr:colOff>0</xdr:colOff>
      <xdr:row>0</xdr:row>
      <xdr:rowOff>504369</xdr:rowOff>
    </xdr:from>
    <xdr:to>
      <xdr:col>0</xdr:col>
      <xdr:colOff>939927</xdr:colOff>
      <xdr:row>0</xdr:row>
      <xdr:rowOff>949499</xdr:rowOff>
    </xdr:to>
    <xdr:sp>
      <xdr:nvSpPr>
        <xdr:cNvPr id="57" name="Budget"/>
        <xdr:cNvSpPr txBox="1"/>
      </xdr:nvSpPr>
      <xdr:spPr>
        <a:xfrm>
          <a:off x="-19051" y="504369"/>
          <a:ext cx="939928" cy="445131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50800" tIns="50800" rIns="50800" bIns="50800" numCol="1" anchor="t">
          <a:spAutoFit/>
        </a:bodyPr>
        <a:lstStyle/>
        <a:p>
          <a:pPr marL="0" marR="0" indent="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8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Budget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21_Personal_Budget">
  <a:themeElements>
    <a:clrScheme name="21_Personal_Budge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Personal_Budge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Personal_Budge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Help.discoveryplus.com" TargetMode="External"/><Relationship Id="rId2" Type="http://schemas.openxmlformats.org/officeDocument/2006/relationships/drawing" Target="../drawings/drawing6.xm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://Recreation.gov" TargetMode="External"/><Relationship Id="rId2" Type="http://schemas.openxmlformats.org/officeDocument/2006/relationships/drawing" Target="../drawings/drawing7.xm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://Recreation.gov" TargetMode="External"/><Relationship Id="rId2" Type="http://schemas.openxmlformats.org/officeDocument/2006/relationships/drawing" Target="../drawings/drawing8.xm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B4:P17"/>
  <sheetViews>
    <sheetView workbookViewId="0" showGridLines="0" defaultGridColor="1">
      <pane topLeftCell="C6" xSplit="2" ySplit="5" activePane="bottomRight" state="frozen"/>
    </sheetView>
  </sheetViews>
  <sheetFormatPr defaultColWidth="16.3333" defaultRowHeight="19.9" customHeight="1" outlineLevelRow="0" outlineLevelCol="0"/>
  <cols>
    <col min="1" max="1" width="2.52344" style="1" customWidth="1"/>
    <col min="2" max="15" width="16.3516" style="1" customWidth="1"/>
    <col min="16" max="16" width="50.7891" style="1" customWidth="1"/>
    <col min="17" max="16384" width="16.3516" style="1" customWidth="1"/>
  </cols>
  <sheetData>
    <row r="1" ht="409" customHeight="1"/>
    <row r="2" ht="259" customHeight="1"/>
    <row r="3" ht="27.65" customHeight="1">
      <c r="B3" t="s" s="2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20.05" customHeight="1">
      <c r="B4" s="3"/>
      <c r="C4" t="s" s="4">
        <v>1</v>
      </c>
      <c r="D4" s="5"/>
      <c r="E4" t="s" s="6">
        <v>2</v>
      </c>
      <c r="F4" s="7"/>
      <c r="G4" t="s" s="8">
        <v>3</v>
      </c>
      <c r="H4" t="s" s="9">
        <v>4</v>
      </c>
      <c r="I4" t="s" s="10">
        <v>5</v>
      </c>
      <c r="J4" s="3"/>
      <c r="K4" s="11"/>
      <c r="L4" s="11"/>
      <c r="M4" s="11"/>
      <c r="N4" s="11"/>
      <c r="O4" s="11"/>
      <c r="P4" s="11"/>
    </row>
    <row r="5" ht="20.25" customHeight="1">
      <c r="B5" s="12"/>
      <c r="C5" t="s" s="13">
        <v>6</v>
      </c>
      <c r="D5" t="s" s="14">
        <v>7</v>
      </c>
      <c r="E5" t="s" s="15">
        <v>6</v>
      </c>
      <c r="F5" t="s" s="16">
        <v>7</v>
      </c>
      <c r="G5" t="s" s="17">
        <v>8</v>
      </c>
      <c r="H5" s="18"/>
      <c r="I5" t="s" s="19">
        <v>1</v>
      </c>
      <c r="J5" t="s" s="13">
        <v>2</v>
      </c>
      <c r="K5" t="s" s="13">
        <v>9</v>
      </c>
      <c r="L5" t="s" s="13">
        <v>10</v>
      </c>
      <c r="M5" t="s" s="13">
        <v>11</v>
      </c>
      <c r="N5" t="s" s="13">
        <v>12</v>
      </c>
      <c r="O5" s="20"/>
      <c r="P5" s="20"/>
    </row>
    <row r="6" ht="20.25" customHeight="1">
      <c r="B6" s="21">
        <v>46023</v>
      </c>
      <c r="C6" s="22" cm="1">
        <f t="array" ref="C6">'January'!G$41</f>
        <v>912.47</v>
      </c>
      <c r="D6" s="23" cm="1">
        <f t="array" ref="D6">'January'!K$47</f>
        <v>597</v>
      </c>
      <c r="E6" s="24" cm="1">
        <f t="array" ref="E6">'January'!H$41</f>
        <v>912.47</v>
      </c>
      <c r="F6" s="25" cm="1">
        <f t="array" ref="F6">'January'!L$47</f>
        <v>627</v>
      </c>
      <c r="G6" s="26" cm="1">
        <f t="array" ref="G6">(F6-E6)-(D6-C6)</f>
        <v>30</v>
      </c>
      <c r="H6" s="27" cm="1">
        <f t="array" ref="H6">F6-E6</f>
        <v>-285.47</v>
      </c>
      <c r="I6" s="28" cm="1">
        <f t="array" ref="I6">6966.21+(D6-C6)</f>
        <v>6650.74</v>
      </c>
      <c r="J6" s="29" cm="1">
        <f t="array" ref="J6">6966.21+H6</f>
        <v>6680.74</v>
      </c>
      <c r="K6" s="29"/>
      <c r="L6" s="29"/>
      <c r="M6" s="29"/>
      <c r="N6" s="29"/>
      <c r="O6" s="29"/>
      <c r="P6" s="29"/>
    </row>
    <row r="7" ht="20.05" customHeight="1">
      <c r="B7" s="30">
        <v>46054</v>
      </c>
      <c r="C7" s="31" cm="1">
        <f t="array" ref="C7">'February'!G$42</f>
        <v>138.88</v>
      </c>
      <c r="D7" s="32">
        <v>8300</v>
      </c>
      <c r="E7" s="33" cm="1">
        <f t="array" ref="E7">'February'!H$42</f>
        <v>138.88</v>
      </c>
      <c r="F7" s="34" cm="1">
        <f t="array" ref="F7">'February'!L$48</f>
        <v>8322.9</v>
      </c>
      <c r="G7" s="35" cm="1">
        <f t="array" ref="G7">(F7-E7)-(D7-C7)</f>
        <v>22.9</v>
      </c>
      <c r="H7" s="36" cm="1">
        <f t="array" ref="H7">F7-E7</f>
        <v>8184.02</v>
      </c>
      <c r="I7" s="37" cm="1">
        <f t="array" ref="I7">I6+(D7-C7)</f>
        <v>14811.86</v>
      </c>
      <c r="J7" s="38" cm="1">
        <f t="array" ref="J7">J6+H7</f>
        <v>14864.76</v>
      </c>
      <c r="K7" s="38"/>
      <c r="L7" s="38"/>
      <c r="M7" s="38"/>
      <c r="N7" s="38"/>
      <c r="O7" s="38"/>
      <c r="P7" s="38"/>
    </row>
    <row r="8" ht="20.05" customHeight="1">
      <c r="B8" s="30">
        <v>46082</v>
      </c>
      <c r="C8" s="31" cm="1">
        <f t="array" ref="C8">'March'!G$54</f>
        <v>1690.59</v>
      </c>
      <c r="D8" s="32">
        <v>4500</v>
      </c>
      <c r="E8" s="33" cm="1">
        <f t="array" ref="E8">'March'!H$54</f>
        <v>1690.59</v>
      </c>
      <c r="F8" s="34">
        <v>4573</v>
      </c>
      <c r="G8" s="35" cm="1">
        <f t="array" ref="G8">(F8-E8)-(D8-C8)</f>
        <v>73</v>
      </c>
      <c r="H8" s="36" cm="1">
        <f t="array" ref="H8">F8-E8</f>
        <v>2882.41</v>
      </c>
      <c r="I8" s="37" cm="1">
        <f t="array" ref="I8">I7+(D8-C8)</f>
        <v>17621.27</v>
      </c>
      <c r="J8" s="38" cm="1">
        <f t="array" ref="J8">J7+H8</f>
        <v>17747.17</v>
      </c>
      <c r="K8" s="38"/>
      <c r="L8" s="38"/>
      <c r="M8" s="38"/>
      <c r="N8" s="38"/>
      <c r="O8" s="38"/>
      <c r="P8" s="38"/>
    </row>
    <row r="9" ht="20.05" customHeight="1">
      <c r="B9" s="30">
        <v>46113</v>
      </c>
      <c r="C9" s="31" cm="1">
        <f t="array" ref="C9">'April'!J$76</f>
        <v>2963.779195534220</v>
      </c>
      <c r="D9" s="32">
        <v>2108</v>
      </c>
      <c r="E9" s="33" cm="1">
        <f t="array" ref="E9">'April'!K$76</f>
        <v>2963.950819436730</v>
      </c>
      <c r="F9" s="34" cm="1">
        <f t="array" ref="F9">'April'!O$82</f>
        <v>2108.479107004970</v>
      </c>
      <c r="G9" s="35" cm="1">
        <f t="array" ref="G9">(F9-E9)-(D9-C9)</f>
        <v>0.307483102460</v>
      </c>
      <c r="H9" s="36" cm="1">
        <f t="array" ref="H9">F9-E9</f>
        <v>-855.471712431760</v>
      </c>
      <c r="I9" s="37" cm="1">
        <f t="array" ref="I9">I8+(D9-C9)</f>
        <v>16765.4908044658</v>
      </c>
      <c r="J9" s="38" cm="1">
        <f t="array" ref="J9">J8+H9</f>
        <v>16891.6982875682</v>
      </c>
      <c r="K9" s="38"/>
      <c r="L9" s="38"/>
      <c r="M9" s="38"/>
      <c r="N9" s="38"/>
      <c r="O9" s="38"/>
      <c r="P9" s="38"/>
    </row>
    <row r="10" ht="20.05" customHeight="1">
      <c r="B10" s="30">
        <v>46143</v>
      </c>
      <c r="C10" s="31" cm="1">
        <f t="array" ref="C10">'May'!J$110</f>
        <v>2573.48</v>
      </c>
      <c r="D10" s="32">
        <v>0</v>
      </c>
      <c r="E10" s="33" cm="1">
        <f t="array" ref="E10">'May'!K$110</f>
        <v>3228.073058823420</v>
      </c>
      <c r="F10" s="34" cm="1">
        <f t="array" ref="F10">'May'!O$116</f>
        <v>838</v>
      </c>
      <c r="G10" s="35" cm="1">
        <f t="array" ref="G10">(F10-E10)-(D10-C10)</f>
        <v>183.406941176580</v>
      </c>
      <c r="H10" s="36" cm="1">
        <f t="array" ref="H10">F10-E10</f>
        <v>-2390.073058823420</v>
      </c>
      <c r="I10" s="37" cm="1">
        <f t="array" ref="I10">I9+(D10-C10)</f>
        <v>14192.0108044658</v>
      </c>
      <c r="J10" s="38" cm="1">
        <f t="array" ref="J10">J9+H10</f>
        <v>14501.6252287448</v>
      </c>
      <c r="K10" s="38" cm="1">
        <f t="array" ref="K10">K11+949+2.89+150.5+20.99</f>
        <v>9110.07</v>
      </c>
      <c r="L10" s="38" cm="1">
        <f t="array" ref="L10">1500+0.8582*2644.81</f>
        <v>3769.775942</v>
      </c>
      <c r="M10" s="38" cm="1">
        <f t="array" ref="M10">188.8+948+469.63</f>
        <v>1606.43</v>
      </c>
      <c r="N10" s="38" cm="1">
        <f t="array" ref="N10">SUM(K10:M10)</f>
        <v>14486.275942</v>
      </c>
      <c r="O10" s="38" cm="1">
        <f t="array" ref="O10">N10-J10</f>
        <v>-15.3492867448</v>
      </c>
      <c r="P10" s="38"/>
    </row>
    <row r="11" ht="32.05" customHeight="1">
      <c r="B11" s="30">
        <v>46174</v>
      </c>
      <c r="C11" s="31" cm="1">
        <f t="array" ref="C11">'June'!J$90</f>
        <v>1873.48</v>
      </c>
      <c r="D11" s="32">
        <v>0</v>
      </c>
      <c r="E11" s="33" cm="1">
        <f t="array" ref="E11">'June'!K$90</f>
        <v>2162.050683842310</v>
      </c>
      <c r="F11" s="34" cm="1">
        <f t="array" ref="F11">'June'!O$96</f>
        <v>47.4081160676791</v>
      </c>
      <c r="G11" s="35" cm="1">
        <f t="array" ref="G11">(F11-E11)-(D11-C11)</f>
        <v>-241.162567774631</v>
      </c>
      <c r="H11" s="36" cm="1">
        <f t="array" ref="H11">F11-E11</f>
        <v>-2114.642567774630</v>
      </c>
      <c r="I11" s="37" cm="1">
        <f t="array" ref="I11">I10+(D11-C11)</f>
        <v>12318.5308044658</v>
      </c>
      <c r="J11" s="38" cm="1">
        <f t="array" ref="J11">J10+H11</f>
        <v>12386.9826609702</v>
      </c>
      <c r="K11" s="38" cm="1">
        <f t="array" ref="K11">7986.69</f>
        <v>7986.69</v>
      </c>
      <c r="L11" s="38" cm="1">
        <f t="array" ref="L11">1469.85*0.8582+1483.42</f>
        <v>2744.84527</v>
      </c>
      <c r="M11" s="38" cm="1">
        <f t="array" ref="M11">188.8+948+469.63+135.68</f>
        <v>1742.11</v>
      </c>
      <c r="N11" s="38" cm="1">
        <f t="array" ref="N11">SUM(K11:M11)</f>
        <v>12473.64527</v>
      </c>
      <c r="O11" s="38" cm="1">
        <f t="array" ref="O11">N11-J11</f>
        <v>86.6626090298</v>
      </c>
      <c r="P11" t="s" s="39">
        <v>13</v>
      </c>
    </row>
    <row r="12" ht="20.05" customHeight="1">
      <c r="B12" s="30">
        <v>46204</v>
      </c>
      <c r="C12" s="31" cm="1">
        <f t="array" ref="C12">'July'!N$109</f>
        <v>2069.23</v>
      </c>
      <c r="D12" s="32">
        <v>0</v>
      </c>
      <c r="E12" s="33" cm="1">
        <f t="array" ref="E12">'July'!O$109</f>
        <v>2045.153537232960</v>
      </c>
      <c r="F12" s="34" cm="1">
        <f t="array" ref="F12">'July'!S$115</f>
        <v>332.972499492001</v>
      </c>
      <c r="G12" s="35" cm="1">
        <f t="array" ref="G12">(F12-E12)-(D12-C12)</f>
        <v>357.048962259041</v>
      </c>
      <c r="H12" s="36" cm="1">
        <f t="array" ref="H12">F12-E12</f>
        <v>-1712.181037740960</v>
      </c>
      <c r="I12" s="37" cm="1">
        <f t="array" ref="I12">I11+(D12-C12)</f>
        <v>10249.3008044658</v>
      </c>
      <c r="J12" s="38" cm="1">
        <f t="array" ref="J12">J11+H12</f>
        <v>10674.8016232292</v>
      </c>
      <c r="K12" s="38" cm="1">
        <f t="array" ref="K12">12216.69-5219</f>
        <v>6997.69</v>
      </c>
      <c r="L12" s="38" cm="1">
        <f t="array" ref="L12">657.93*0.8582+1876.67</f>
        <v>2441.305526</v>
      </c>
      <c r="M12" s="38" cm="1">
        <f t="array" ref="M12">948+469.63</f>
        <v>1417.63</v>
      </c>
      <c r="N12" s="38" cm="1">
        <f t="array" ref="N12">SUM(K12:M12)</f>
        <v>10856.625526</v>
      </c>
      <c r="O12" s="38" cm="1">
        <f t="array" ref="O12">N12-J12</f>
        <v>181.8239027708</v>
      </c>
      <c r="P12" s="38"/>
    </row>
    <row r="13" ht="20.05" customHeight="1">
      <c r="B13" s="30">
        <v>46235</v>
      </c>
      <c r="C13" s="31" cm="1">
        <f t="array" ref="C13">'August'!G$42</f>
        <v>1873.48</v>
      </c>
      <c r="D13" s="32">
        <v>0</v>
      </c>
      <c r="E13" s="33">
        <v>0</v>
      </c>
      <c r="F13" s="34">
        <v>0</v>
      </c>
      <c r="G13" s="35" cm="1">
        <f t="array" ref="G13">(F13-E13)-(D13-C13)</f>
        <v>1873.48</v>
      </c>
      <c r="H13" s="36" cm="1">
        <f t="array" ref="H13">F13-E13</f>
        <v>0</v>
      </c>
      <c r="I13" s="37" cm="1">
        <f t="array" ref="I13">I12+(D13-C13)</f>
        <v>8375.8208044658</v>
      </c>
      <c r="J13" s="38" cm="1">
        <f t="array" ref="J13">J12+H13</f>
        <v>10674.8016232292</v>
      </c>
      <c r="K13" s="38"/>
      <c r="L13" s="38"/>
      <c r="M13" s="38"/>
      <c r="N13" s="38"/>
      <c r="O13" s="38"/>
      <c r="P13" s="38"/>
    </row>
    <row r="14" ht="20.05" customHeight="1">
      <c r="B14" s="30">
        <v>46266</v>
      </c>
      <c r="C14" s="31" cm="1">
        <f t="array" ref="C14">'Budgeting'!J13</f>
        <v>1847.38</v>
      </c>
      <c r="D14" s="32">
        <v>0</v>
      </c>
      <c r="E14" s="33">
        <v>0</v>
      </c>
      <c r="F14" s="34">
        <v>0</v>
      </c>
      <c r="G14" s="35" cm="1">
        <f t="array" ref="G14">(F14-E14)-(D14-C14)</f>
        <v>1847.38</v>
      </c>
      <c r="H14" s="36" cm="1">
        <f t="array" ref="H14">F14-E14</f>
        <v>0</v>
      </c>
      <c r="I14" s="37" cm="1">
        <f t="array" ref="I14">I13+(D14-C14)</f>
        <v>6528.4408044658</v>
      </c>
      <c r="J14" s="38" cm="1">
        <f t="array" ref="J14">J13+H14</f>
        <v>10674.8016232292</v>
      </c>
      <c r="K14" s="38"/>
      <c r="L14" s="38"/>
      <c r="M14" s="38"/>
      <c r="N14" s="38"/>
      <c r="O14" s="38"/>
      <c r="P14" s="38"/>
    </row>
    <row r="15" ht="20.05" customHeight="1">
      <c r="B15" s="30">
        <v>46296</v>
      </c>
      <c r="C15" s="31">
        <v>0</v>
      </c>
      <c r="D15" s="32">
        <v>0</v>
      </c>
      <c r="E15" s="33">
        <v>0</v>
      </c>
      <c r="F15" s="34">
        <v>0</v>
      </c>
      <c r="G15" s="35" cm="1">
        <f t="array" ref="G15">(F15-E15)-(D15-C15)</f>
        <v>0</v>
      </c>
      <c r="H15" s="36" cm="1">
        <f t="array" ref="H15">F15-E15</f>
        <v>0</v>
      </c>
      <c r="I15" s="37" cm="1">
        <f t="array" ref="I15">I14+(D15-C15)</f>
        <v>6528.4408044658</v>
      </c>
      <c r="J15" s="38" cm="1">
        <f t="array" ref="J15">J14+H15</f>
        <v>10674.8016232292</v>
      </c>
      <c r="K15" s="38"/>
      <c r="L15" s="38"/>
      <c r="M15" s="38"/>
      <c r="N15" s="38"/>
      <c r="O15" s="38"/>
      <c r="P15" s="38"/>
    </row>
    <row r="16" ht="20.05" customHeight="1">
      <c r="B16" s="30">
        <v>46327</v>
      </c>
      <c r="C16" s="31">
        <v>0</v>
      </c>
      <c r="D16" s="32">
        <v>0</v>
      </c>
      <c r="E16" s="33">
        <v>0</v>
      </c>
      <c r="F16" s="34">
        <v>0</v>
      </c>
      <c r="G16" s="35" cm="1">
        <f t="array" ref="G16">(F16-E16)-(D16-C16)</f>
        <v>0</v>
      </c>
      <c r="H16" s="36" cm="1">
        <f t="array" ref="H16">F16-E16</f>
        <v>0</v>
      </c>
      <c r="I16" s="37" cm="1">
        <f t="array" ref="I16">I15+(D16-C16)</f>
        <v>6528.4408044658</v>
      </c>
      <c r="J16" s="38" cm="1">
        <f t="array" ref="J16">J15+H16</f>
        <v>10674.8016232292</v>
      </c>
      <c r="K16" s="38"/>
      <c r="L16" s="38"/>
      <c r="M16" s="38"/>
      <c r="N16" s="38"/>
      <c r="O16" s="38"/>
      <c r="P16" s="38"/>
    </row>
    <row r="17" ht="20.05" customHeight="1">
      <c r="B17" s="30">
        <v>46357</v>
      </c>
      <c r="C17" s="31">
        <v>0</v>
      </c>
      <c r="D17" s="32">
        <v>0</v>
      </c>
      <c r="E17" s="40">
        <v>0</v>
      </c>
      <c r="F17" s="41">
        <v>0</v>
      </c>
      <c r="G17" s="35" cm="1">
        <f t="array" ref="G17">(F17-E17)-(D17-C17)</f>
        <v>0</v>
      </c>
      <c r="H17" s="42" cm="1">
        <f t="array" ref="H17">F17-E17</f>
        <v>0</v>
      </c>
      <c r="I17" s="37" cm="1">
        <f t="array" ref="I17">I16+(D17-C17)</f>
        <v>6528.4408044658</v>
      </c>
      <c r="J17" s="38" cm="1">
        <f t="array" ref="J17">J16+H17</f>
        <v>10674.8016232292</v>
      </c>
      <c r="K17" s="38"/>
      <c r="L17" s="38"/>
      <c r="M17" s="38"/>
      <c r="N17" s="38"/>
      <c r="O17" s="38"/>
      <c r="P17" s="38"/>
    </row>
  </sheetData>
  <mergeCells count="4">
    <mergeCell ref="B3:P3"/>
    <mergeCell ref="C4:D4"/>
    <mergeCell ref="E4:F4"/>
    <mergeCell ref="I4:J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J5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21.0859" style="43" customWidth="1"/>
    <col min="2" max="13" width="16.3516" style="43" customWidth="1"/>
    <col min="14" max="14" width="21.4062" style="53" customWidth="1"/>
    <col min="15" max="16" width="16.3516" style="53" customWidth="1"/>
    <col min="17" max="18" hidden="1" width="16.3333" style="53" customWidth="1"/>
    <col min="19" max="19" width="21.0859" style="60" customWidth="1"/>
    <col min="20" max="31" width="16.3516" style="60" customWidth="1"/>
    <col min="32" max="36" width="16.3516" style="61" customWidth="1"/>
    <col min="37" max="16384" width="16.3516" style="6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s="12"/>
      <c r="B2" s="44">
        <v>46023</v>
      </c>
      <c r="C2" s="44">
        <v>46054</v>
      </c>
      <c r="D2" s="44">
        <v>46082</v>
      </c>
      <c r="E2" s="44">
        <v>46113</v>
      </c>
      <c r="F2" s="44">
        <v>46143</v>
      </c>
      <c r="G2" s="44">
        <v>46174</v>
      </c>
      <c r="H2" s="44">
        <v>46204</v>
      </c>
      <c r="I2" s="44">
        <v>46235</v>
      </c>
      <c r="J2" s="44">
        <v>46266</v>
      </c>
      <c r="K2" s="44">
        <v>46296</v>
      </c>
      <c r="L2" s="44">
        <v>46327</v>
      </c>
      <c r="M2" s="44">
        <v>46357</v>
      </c>
    </row>
    <row r="3" ht="20.25" customHeight="1">
      <c r="A3" t="s" s="45">
        <v>14</v>
      </c>
      <c r="B3" s="46">
        <v>0</v>
      </c>
      <c r="C3" s="47" cm="1">
        <f t="array" ref="C3">SUMIF('February'!D3:D29,$A3,'February'!E3:E29)</f>
        <v>4.3</v>
      </c>
      <c r="D3" s="47">
        <v>99.64</v>
      </c>
      <c r="E3" s="47">
        <v>192.436285997496</v>
      </c>
      <c r="F3" s="29" cm="1">
        <f t="array" ref="F3">'Budget USA'!$D$2*SUM('Budget USA'!L6:O6)</f>
        <v>139.2</v>
      </c>
      <c r="G3" s="29" cm="1">
        <f t="array" ref="G3">'Budget USA'!$D$2*SUM('Budget USA'!P6:S6)</f>
        <v>139.2</v>
      </c>
      <c r="H3" s="29" cm="1">
        <f t="array" ref="H3">'Budget USA'!$D$2*SUM('Budget USA'!T6:X6)</f>
        <v>174</v>
      </c>
      <c r="I3" s="29" cm="1">
        <f t="array" ref="I3">'Budget USA'!$D$2*SUM('Budget USA'!Y6:AB6)</f>
        <v>139.2</v>
      </c>
      <c r="J3" s="29">
        <v>139.2</v>
      </c>
      <c r="K3" s="29"/>
      <c r="L3" s="29"/>
      <c r="M3" s="29"/>
    </row>
    <row r="4" ht="20.05" customHeight="1">
      <c r="A4" t="s" s="48">
        <v>15</v>
      </c>
      <c r="B4" s="49">
        <v>8</v>
      </c>
      <c r="C4" s="50" cm="1">
        <f t="array" ref="C4">SUMIF('February'!D3:D29,$A4,'February'!E3:E29)</f>
        <v>46</v>
      </c>
      <c r="D4" s="51">
        <v>23</v>
      </c>
      <c r="E4" s="51">
        <v>0</v>
      </c>
      <c r="F4" s="38">
        <v>100</v>
      </c>
      <c r="G4" s="38">
        <v>0</v>
      </c>
      <c r="H4" s="38">
        <v>0</v>
      </c>
      <c r="I4" s="38">
        <v>0</v>
      </c>
      <c r="J4" s="38">
        <v>0</v>
      </c>
      <c r="K4" s="38"/>
      <c r="L4" s="38"/>
      <c r="M4" s="38"/>
    </row>
    <row r="5" ht="20.05" customHeight="1">
      <c r="A5" t="s" s="48">
        <v>16</v>
      </c>
      <c r="B5" s="49">
        <v>0</v>
      </c>
      <c r="C5" s="50" cm="1">
        <f t="array" ref="C5">SUMIF('February'!D3:D29,$A5,'February'!E3:E29)</f>
        <v>4.6</v>
      </c>
      <c r="D5" s="51">
        <v>91.45</v>
      </c>
      <c r="E5" s="51">
        <v>208.623351940735</v>
      </c>
      <c r="F5" s="38" cm="1">
        <f t="array" ref="F5">'Budget USA'!$D$2*SUM('Budget USA'!L8:O8)</f>
        <v>287.1</v>
      </c>
      <c r="G5" s="38" cm="1">
        <f t="array" ref="G5">'Budget USA'!$D$2*SUM('Budget USA'!P8:S8)</f>
        <v>287.1</v>
      </c>
      <c r="H5" s="38" cm="1">
        <f t="array" ref="H5">'Budget USA'!$D$2*SUM('Budget USA'!T8:X8)</f>
        <v>356.7</v>
      </c>
      <c r="I5" s="38" cm="1">
        <f t="array" ref="I5">'Budget USA'!$D$2*SUM('Budget USA'!Y8:AB8)</f>
        <v>287.1</v>
      </c>
      <c r="J5" s="38">
        <v>261</v>
      </c>
      <c r="K5" s="38"/>
      <c r="L5" s="38"/>
      <c r="M5" s="38"/>
    </row>
    <row r="6" ht="20.05" customHeight="1">
      <c r="A6" t="s" s="48">
        <v>17</v>
      </c>
      <c r="B6" s="49">
        <v>0</v>
      </c>
      <c r="C6" s="50" cm="1">
        <f t="array" ref="C6">SUMIF('February'!D3:D29,$A6,'February'!E3:E29)</f>
        <v>36.13</v>
      </c>
      <c r="D6" s="51">
        <v>0</v>
      </c>
      <c r="E6" s="51">
        <v>1867.29</v>
      </c>
      <c r="F6" s="38">
        <v>1600</v>
      </c>
      <c r="G6" s="38">
        <v>1000</v>
      </c>
      <c r="H6" s="38">
        <v>1000</v>
      </c>
      <c r="I6" s="38">
        <v>1000</v>
      </c>
      <c r="J6" s="38">
        <v>1000</v>
      </c>
      <c r="K6" s="38"/>
      <c r="L6" s="38"/>
      <c r="M6" s="38"/>
    </row>
    <row r="7" ht="20.05" customHeight="1">
      <c r="A7" t="s" s="48">
        <v>18</v>
      </c>
      <c r="B7" s="49">
        <v>20</v>
      </c>
      <c r="C7" s="50" cm="1">
        <f t="array" ref="C7">SUMIF('February'!D3:D29,$A7,'February'!E3:E29)</f>
        <v>0</v>
      </c>
      <c r="D7" s="51">
        <v>568.8200000000001</v>
      </c>
      <c r="E7" s="51">
        <v>0</v>
      </c>
      <c r="F7" s="38">
        <v>0</v>
      </c>
      <c r="G7" s="38">
        <v>0</v>
      </c>
      <c r="H7" s="38">
        <v>0</v>
      </c>
      <c r="I7" s="38">
        <v>0</v>
      </c>
      <c r="J7" s="38">
        <v>0</v>
      </c>
      <c r="K7" s="38"/>
      <c r="L7" s="38"/>
      <c r="M7" s="38"/>
    </row>
    <row r="8" ht="20.05" customHeight="1">
      <c r="A8" t="s" s="48">
        <v>19</v>
      </c>
      <c r="B8" s="49">
        <v>850</v>
      </c>
      <c r="C8" s="50" cm="1">
        <f t="array" ref="C8">SUMIF('February'!D3:D29,$A8,'February'!E3:E29)</f>
        <v>0</v>
      </c>
      <c r="D8" s="51">
        <v>295.45</v>
      </c>
      <c r="E8" s="51">
        <v>145.52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/>
      <c r="L8" s="38"/>
      <c r="M8" s="38"/>
    </row>
    <row r="9" ht="20.05" customHeight="1">
      <c r="A9" t="s" s="48">
        <v>20</v>
      </c>
      <c r="B9" s="49">
        <v>10</v>
      </c>
      <c r="C9" s="50" cm="1">
        <f t="array" ref="C9">SUMIF('February'!D3:D29,$A9,'February'!E3:E29)</f>
        <v>10.36</v>
      </c>
      <c r="D9" s="51">
        <v>14.35</v>
      </c>
      <c r="E9" s="51">
        <v>70.73999999999999</v>
      </c>
      <c r="F9" s="38">
        <v>278.4</v>
      </c>
      <c r="G9" s="38">
        <v>278.4</v>
      </c>
      <c r="H9" s="38">
        <v>348</v>
      </c>
      <c r="I9" s="38">
        <v>278.4</v>
      </c>
      <c r="J9" s="38">
        <v>87</v>
      </c>
      <c r="K9" s="38"/>
      <c r="L9" s="38"/>
      <c r="M9" s="38"/>
    </row>
    <row r="10" ht="20.05" customHeight="1">
      <c r="A10" t="s" s="48">
        <v>21</v>
      </c>
      <c r="B10" s="49">
        <v>30</v>
      </c>
      <c r="C10" s="50">
        <v>5</v>
      </c>
      <c r="D10" s="51">
        <v>39.9</v>
      </c>
      <c r="E10" s="50">
        <v>52.42</v>
      </c>
      <c r="F10" s="38" cm="1">
        <f t="array" ref="F10">'Budget USA'!$D$2*(SUM('Budget USA'!L10:O10)+62)</f>
        <v>81.78</v>
      </c>
      <c r="G10" s="38" cm="1">
        <f t="array" ref="G10">'Budget USA'!$D$2*(SUM('Budget USA'!M10:P10)+62)</f>
        <v>81.78</v>
      </c>
      <c r="H10" s="38" cm="1">
        <f t="array" ref="H10">'Budget USA'!$D$2*(SUM('Budget USA'!N10:Q10)+62)</f>
        <v>81.78</v>
      </c>
      <c r="I10" s="38" cm="1">
        <f t="array" ref="I10">'Budget USA'!$D$2*(SUM('Budget USA'!O10:R10)+62)</f>
        <v>81.78</v>
      </c>
      <c r="J10" s="38" cm="1">
        <f t="array" ref="J10">'Budget USA'!$D$2*(SUM('Budget USA'!P10:S10)+62)</f>
        <v>81.78</v>
      </c>
      <c r="K10" s="38"/>
      <c r="L10" s="38"/>
      <c r="M10" s="38"/>
    </row>
    <row r="11" ht="20.05" customHeight="1">
      <c r="A11" t="s" s="48">
        <v>22</v>
      </c>
      <c r="B11" s="49">
        <v>30</v>
      </c>
      <c r="C11" s="50" cm="1">
        <f t="array" ref="C11">SUMIF('February'!D3:D29,$A11,'February'!E3:E29)</f>
        <v>32.49</v>
      </c>
      <c r="D11" s="51">
        <v>557.98</v>
      </c>
      <c r="E11" s="51">
        <v>426.749557595993</v>
      </c>
      <c r="F11" s="38">
        <v>87</v>
      </c>
      <c r="G11" s="38">
        <v>87</v>
      </c>
      <c r="H11" s="38">
        <v>108.75</v>
      </c>
      <c r="I11" s="38">
        <v>87</v>
      </c>
      <c r="J11" s="38">
        <v>278.4</v>
      </c>
      <c r="K11" s="38"/>
      <c r="L11" s="38"/>
      <c r="M11" s="38"/>
    </row>
    <row r="12" ht="20.05" customHeight="1">
      <c r="A12" t="s" s="48">
        <v>23</v>
      </c>
      <c r="B12" s="31">
        <v>0</v>
      </c>
      <c r="C12" s="52">
        <v>0</v>
      </c>
      <c r="D12" s="52">
        <v>0</v>
      </c>
      <c r="E12" s="52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/>
      <c r="L12" s="38"/>
      <c r="M12" s="38"/>
    </row>
    <row r="13" ht="20.05" customHeight="1">
      <c r="A13" t="s" s="48">
        <v>24</v>
      </c>
      <c r="B13" s="31" cm="1">
        <f t="array" ref="B13">SUM(B3:B12)</f>
        <v>948</v>
      </c>
      <c r="C13" s="52" cm="1">
        <f t="array" ref="C13">SUM(C3:C12)</f>
        <v>138.88</v>
      </c>
      <c r="D13" s="52" cm="1">
        <f t="array" ref="D13">SUM(D3:D12)</f>
        <v>1690.59</v>
      </c>
      <c r="E13" s="52" cm="1">
        <f t="array" ref="E13">SUM(E3:E12)</f>
        <v>2963.779195534220</v>
      </c>
      <c r="F13" s="52" cm="1">
        <f t="array" ref="F13">SUM(F3:F12)</f>
        <v>2573.48</v>
      </c>
      <c r="G13" s="52" cm="1">
        <f t="array" ref="G13">SUM(G3:G12)</f>
        <v>1873.48</v>
      </c>
      <c r="H13" s="52" cm="1">
        <f t="array" ref="H13">SUM(H3:H12)</f>
        <v>2069.23</v>
      </c>
      <c r="I13" s="52" cm="1">
        <f t="array" ref="I13">SUM(I3:I12)</f>
        <v>1873.48</v>
      </c>
      <c r="J13" s="52" cm="1">
        <f t="array" ref="J13">SUM(J3:J12)</f>
        <v>1847.38</v>
      </c>
      <c r="K13" s="52" cm="1">
        <f t="array" ref="K13">SUM(K3:K12)</f>
        <v>0</v>
      </c>
      <c r="L13" s="52" cm="1">
        <f t="array" ref="L13">SUM(L3:L12)</f>
        <v>0</v>
      </c>
      <c r="M13" s="52" cm="1">
        <f t="array" ref="M13">SUM(M3:M12)</f>
        <v>0</v>
      </c>
    </row>
    <row r="15" ht="27.65" customHeight="1">
      <c r="N15" t="s" s="2">
        <v>25</v>
      </c>
      <c r="O15" s="2"/>
      <c r="P15" s="2"/>
      <c r="Q15" s="2"/>
      <c r="R15" s="2"/>
    </row>
    <row r="16" ht="20.25" customHeight="1">
      <c r="N16" s="12"/>
      <c r="O16" s="12"/>
      <c r="P16" s="12"/>
      <c r="Q16" s="12"/>
      <c r="R16" s="12"/>
    </row>
    <row r="17" ht="20.25" customHeight="1">
      <c r="N17" t="s" s="45">
        <v>26</v>
      </c>
      <c r="O17" s="54">
        <v>2.99</v>
      </c>
      <c r="P17" s="55"/>
      <c r="Q17" s="55"/>
      <c r="R17" s="55"/>
    </row>
    <row r="18" ht="20.05" customHeight="1">
      <c r="N18" t="s" s="48">
        <v>27</v>
      </c>
      <c r="O18" s="56" cm="1">
        <f t="array" ref="O18">21/6</f>
        <v>3.5</v>
      </c>
      <c r="P18" s="57"/>
      <c r="Q18" s="57"/>
      <c r="R18" s="57"/>
    </row>
    <row r="19" ht="20.05" customHeight="1">
      <c r="N19" s="58"/>
      <c r="O19" s="59"/>
      <c r="P19" s="57"/>
      <c r="Q19" s="57"/>
      <c r="R19" s="57"/>
    </row>
    <row r="20" ht="20.05" customHeight="1">
      <c r="N20" s="58"/>
      <c r="O20" s="59"/>
      <c r="P20" s="57"/>
      <c r="Q20" s="57"/>
      <c r="R20" s="57"/>
    </row>
    <row r="21" ht="20.05" customHeight="1">
      <c r="N21" s="58"/>
      <c r="O21" s="59"/>
      <c r="P21" s="57"/>
      <c r="Q21" s="57"/>
      <c r="R21" s="57"/>
    </row>
    <row r="22" ht="20.05" customHeight="1">
      <c r="N22" s="58"/>
      <c r="O22" s="59"/>
      <c r="P22" s="57"/>
      <c r="Q22" s="57"/>
      <c r="R22" s="57"/>
    </row>
    <row r="23" ht="20.05" customHeight="1">
      <c r="N23" s="58"/>
      <c r="O23" s="59"/>
      <c r="P23" s="57"/>
      <c r="Q23" s="57"/>
      <c r="R23" s="57"/>
    </row>
    <row r="24" ht="20.05" customHeight="1">
      <c r="N24" s="58"/>
      <c r="O24" s="59"/>
      <c r="P24" s="57"/>
      <c r="Q24" s="57"/>
      <c r="R24" s="57"/>
    </row>
    <row r="25" ht="20.05" customHeight="1">
      <c r="N25" t="s" s="48">
        <v>24</v>
      </c>
      <c r="O25" s="56" cm="1">
        <f t="array" ref="O25">SUM(O17:O24)</f>
        <v>6.49</v>
      </c>
      <c r="P25" s="57"/>
      <c r="Q25" s="57"/>
      <c r="R25" s="57"/>
    </row>
    <row r="27" ht="27.65" customHeight="1">
      <c r="S27" t="s" s="2">
        <v>28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20.25" customHeight="1">
      <c r="S28" s="12"/>
      <c r="T28" s="44">
        <v>46023</v>
      </c>
      <c r="U28" s="44">
        <v>46054</v>
      </c>
      <c r="V28" s="44">
        <v>46082</v>
      </c>
      <c r="W28" s="44">
        <v>46113</v>
      </c>
      <c r="X28" s="44">
        <v>46143</v>
      </c>
      <c r="Y28" s="44">
        <v>46174</v>
      </c>
      <c r="Z28" s="44">
        <v>46204</v>
      </c>
      <c r="AA28" s="44">
        <v>46235</v>
      </c>
      <c r="AB28" s="44">
        <v>46266</v>
      </c>
      <c r="AC28" s="44">
        <v>46296</v>
      </c>
      <c r="AD28" s="44">
        <v>46327</v>
      </c>
      <c r="AE28" s="44">
        <v>46357</v>
      </c>
    </row>
    <row r="29" ht="20.25" customHeight="1">
      <c r="S29" t="s" s="45">
        <v>14</v>
      </c>
      <c r="T29" s="46">
        <v>0</v>
      </c>
      <c r="U29" s="47" cm="1">
        <f t="array" ref="U29">SUMIF('February'!D3:D29,$S29,'February'!E3:E29)</f>
        <v>4.3</v>
      </c>
      <c r="V29" s="29">
        <v>150</v>
      </c>
      <c r="W29" s="29" cm="1">
        <f t="array" ref="W29">'Budget USA'!D2*SUM('Budget USA'!G6:K6)</f>
        <v>174</v>
      </c>
      <c r="X29" s="29" cm="1">
        <f t="array" ref="X29">'Budget USA'!$D$2*SUM('Budget USA'!L6:O6)</f>
        <v>139.2</v>
      </c>
      <c r="Y29" s="29" cm="1">
        <f t="array" ref="Y29">'Budget USA'!$D$2*SUM('Budget USA'!P6:S6)</f>
        <v>139.2</v>
      </c>
      <c r="Z29" s="29" cm="1">
        <f t="array" ref="Z29">'Budget USA'!$D$2*SUM('Budget USA'!T6:X6)</f>
        <v>174</v>
      </c>
      <c r="AA29" s="29" cm="1">
        <f t="array" ref="AA29">'Budget USA'!$D$2*SUM('Budget USA'!Y6:AB6)</f>
        <v>139.2</v>
      </c>
      <c r="AB29" s="29">
        <v>139.2</v>
      </c>
      <c r="AC29" s="29"/>
      <c r="AD29" s="29"/>
      <c r="AE29" s="29"/>
    </row>
    <row r="30" ht="20.05" customHeight="1">
      <c r="S30" t="s" s="48">
        <v>15</v>
      </c>
      <c r="T30" s="49">
        <v>8</v>
      </c>
      <c r="U30" s="50" cm="1">
        <f t="array" ref="U30">SUMIF('February'!D3:D29,$S30,'February'!E3:E29)</f>
        <v>46</v>
      </c>
      <c r="V30" s="52">
        <v>50</v>
      </c>
      <c r="W30" s="52" cm="1">
        <f t="array" ref="W30">'Budget USA'!D2*SUM('Budget USA'!G7:K7)</f>
        <v>87</v>
      </c>
      <c r="X30" s="38" cm="1">
        <f t="array" ref="X30">'Budget USA'!$D$2*SUM('Budget USA'!L7:O7)</f>
        <v>69.59999999999999</v>
      </c>
      <c r="Y30" s="38" cm="1">
        <f t="array" ref="Y30">'Budget USA'!$D$2*SUM('Budget USA'!P7:S7)</f>
        <v>69.59999999999999</v>
      </c>
      <c r="Z30" s="38" cm="1">
        <f t="array" ref="Z30">'Budget USA'!$D$2*SUM('Budget USA'!T7:X7)</f>
        <v>87</v>
      </c>
      <c r="AA30" s="38" cm="1">
        <f t="array" ref="AA30">'Budget USA'!$D$2*SUM('Budget USA'!Y7:AB7)</f>
        <v>69.59999999999999</v>
      </c>
      <c r="AB30" s="38">
        <v>69.59999999999999</v>
      </c>
      <c r="AC30" s="38"/>
      <c r="AD30" s="38"/>
      <c r="AE30" s="38"/>
    </row>
    <row r="31" ht="20.05" customHeight="1">
      <c r="S31" t="s" s="48">
        <v>16</v>
      </c>
      <c r="T31" s="49">
        <v>0</v>
      </c>
      <c r="U31" s="50" cm="1">
        <f t="array" ref="U31">SUMIF('February'!D3:D29,$S31,'February'!E3:E29)</f>
        <v>4.6</v>
      </c>
      <c r="V31" s="52">
        <v>80</v>
      </c>
      <c r="W31" s="52" cm="1">
        <f t="array" ref="W31">'Budget USA'!D2*SUM('Budget USA'!G8:K8)</f>
        <v>356.7</v>
      </c>
      <c r="X31" s="38" cm="1">
        <f t="array" ref="X31">'Budget USA'!$D$2*SUM('Budget USA'!L8:O8)</f>
        <v>287.1</v>
      </c>
      <c r="Y31" s="38" cm="1">
        <f t="array" ref="Y31">'Budget USA'!$D$2*SUM('Budget USA'!P8:S8)</f>
        <v>287.1</v>
      </c>
      <c r="Z31" s="38" cm="1">
        <f t="array" ref="Z31">'Budget USA'!$D$2*SUM('Budget USA'!T8:X8)</f>
        <v>356.7</v>
      </c>
      <c r="AA31" s="38" cm="1">
        <f t="array" ref="AA31">'Budget USA'!$D$2*SUM('Budget USA'!Y8:AB8)</f>
        <v>287.1</v>
      </c>
      <c r="AB31" s="38">
        <v>261</v>
      </c>
      <c r="AC31" s="38"/>
      <c r="AD31" s="38"/>
      <c r="AE31" s="38"/>
    </row>
    <row r="32" ht="20.05" customHeight="1">
      <c r="S32" t="s" s="48">
        <v>17</v>
      </c>
      <c r="T32" s="49">
        <v>0</v>
      </c>
      <c r="U32" s="50" cm="1">
        <f t="array" ref="U32">SUMIF('February'!D3:D29,$S32,'February'!E3:E29)</f>
        <v>36.13</v>
      </c>
      <c r="V32" s="52">
        <v>0</v>
      </c>
      <c r="W32" s="52">
        <v>1800</v>
      </c>
      <c r="X32" s="38">
        <v>1400</v>
      </c>
      <c r="Y32" s="38">
        <v>1400</v>
      </c>
      <c r="Z32" s="38">
        <v>1400</v>
      </c>
      <c r="AA32" s="38">
        <v>1400</v>
      </c>
      <c r="AB32" s="38">
        <v>1400</v>
      </c>
      <c r="AC32" s="38"/>
      <c r="AD32" s="38"/>
      <c r="AE32" s="38"/>
    </row>
    <row r="33" ht="20.05" customHeight="1">
      <c r="S33" t="s" s="48">
        <v>18</v>
      </c>
      <c r="T33" s="49">
        <v>20</v>
      </c>
      <c r="U33" s="50" cm="1">
        <f t="array" ref="U33">SUMIF('February'!D3:D29,$S33,'February'!E3:E29)</f>
        <v>0</v>
      </c>
      <c r="V33" s="52">
        <v>600</v>
      </c>
      <c r="W33" s="52">
        <v>0</v>
      </c>
      <c r="X33" s="38">
        <v>0</v>
      </c>
      <c r="Y33" s="38">
        <v>0</v>
      </c>
      <c r="Z33" s="38">
        <v>0</v>
      </c>
      <c r="AA33" s="38">
        <v>0</v>
      </c>
      <c r="AB33" s="38">
        <v>0</v>
      </c>
      <c r="AC33" s="38"/>
      <c r="AD33" s="38"/>
      <c r="AE33" s="38"/>
    </row>
    <row r="34" ht="20.05" customHeight="1">
      <c r="S34" t="s" s="48">
        <v>19</v>
      </c>
      <c r="T34" s="49">
        <v>850</v>
      </c>
      <c r="U34" s="50" cm="1">
        <f t="array" ref="U34">SUMIF('February'!D3:D29,$S34,'February'!E3:E29)</f>
        <v>0</v>
      </c>
      <c r="V34" s="52">
        <v>200</v>
      </c>
      <c r="W34" s="52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38"/>
      <c r="AD34" s="38"/>
      <c r="AE34" s="38"/>
    </row>
    <row r="35" ht="20.05" customHeight="1">
      <c r="S35" t="s" s="48">
        <v>20</v>
      </c>
      <c r="T35" s="49">
        <v>10</v>
      </c>
      <c r="U35" s="50" cm="1">
        <f t="array" ref="U35">SUMIF('February'!D3:D29,$S35,'February'!E3:E29)</f>
        <v>10.36</v>
      </c>
      <c r="V35" s="52">
        <v>950</v>
      </c>
      <c r="W35" s="52" cm="1">
        <f t="array" ref="W35">'Budget USA'!D2*SUM('Budget USA'!G9:K9)</f>
        <v>108.75</v>
      </c>
      <c r="X35" s="38">
        <v>278.4</v>
      </c>
      <c r="Y35" s="38">
        <v>278.4</v>
      </c>
      <c r="Z35" s="38" cm="1">
        <f t="array" ref="Z35">'Budget USA'!$D$2*SUM('Budget USA'!T9:X9)</f>
        <v>108.75</v>
      </c>
      <c r="AA35" s="38">
        <v>278.4</v>
      </c>
      <c r="AB35" s="38">
        <v>87</v>
      </c>
      <c r="AC35" s="38"/>
      <c r="AD35" s="38"/>
      <c r="AE35" s="38"/>
    </row>
    <row r="36" ht="20.05" customHeight="1">
      <c r="S36" t="s" s="48">
        <v>21</v>
      </c>
      <c r="T36" s="49">
        <v>30</v>
      </c>
      <c r="U36" s="50">
        <v>5</v>
      </c>
      <c r="V36" s="52">
        <v>30</v>
      </c>
      <c r="W36" s="38" cm="1">
        <f t="array" ref="W36">'Budget USA'!$D$2*(SUM('Budget USA'!K10:N10)+62)</f>
        <v>81.78</v>
      </c>
      <c r="X36" s="38" cm="1">
        <f t="array" ref="X36">'Budget USA'!$D$2*(SUM('Budget USA'!L10:O10)+62)</f>
        <v>81.78</v>
      </c>
      <c r="Y36" s="38" cm="1">
        <f t="array" ref="Y36">'Budget USA'!$D$2*(SUM('Budget USA'!M10:P10)+62)</f>
        <v>81.78</v>
      </c>
      <c r="Z36" s="38" cm="1">
        <f t="array" ref="Z36">'Budget USA'!$D$2*(SUM('Budget USA'!N10:Q10)+62)</f>
        <v>81.78</v>
      </c>
      <c r="AA36" s="38" cm="1">
        <f t="array" ref="AA36">'Budget USA'!$D$2*(SUM('Budget USA'!O10:R10)+62)</f>
        <v>81.78</v>
      </c>
      <c r="AB36" s="38" cm="1">
        <f t="array" ref="AB36">'Budget USA'!$D$2*(SUM('Budget USA'!P10:S10)+62)</f>
        <v>81.78</v>
      </c>
      <c r="AC36" s="38"/>
      <c r="AD36" s="38"/>
      <c r="AE36" s="38"/>
    </row>
    <row r="37" ht="20.05" customHeight="1">
      <c r="S37" t="s" s="48">
        <v>22</v>
      </c>
      <c r="T37" s="49">
        <v>30</v>
      </c>
      <c r="U37" s="50" cm="1">
        <f t="array" ref="U37">SUMIF('February'!D3:D29,$S37,'February'!E3:E29)</f>
        <v>32.49</v>
      </c>
      <c r="V37" s="52">
        <v>500</v>
      </c>
      <c r="W37" s="52" cm="1">
        <f t="array" ref="W37">'Budget USA'!D2*SUM('Budget USA'!G11:K11)</f>
        <v>348</v>
      </c>
      <c r="X37" s="38">
        <v>87</v>
      </c>
      <c r="Y37" s="38">
        <v>87</v>
      </c>
      <c r="Z37" s="38" cm="1">
        <f t="array" ref="Z37">'Budget USA'!$D$2*SUM('Budget USA'!T11:X11)</f>
        <v>348</v>
      </c>
      <c r="AA37" s="38">
        <v>87</v>
      </c>
      <c r="AB37" s="38">
        <v>278.4</v>
      </c>
      <c r="AC37" s="38"/>
      <c r="AD37" s="38"/>
      <c r="AE37" s="38"/>
    </row>
    <row r="38" ht="20.05" customHeight="1">
      <c r="S38" t="s" s="48">
        <v>23</v>
      </c>
      <c r="T38" s="31">
        <v>0</v>
      </c>
      <c r="U38" s="52">
        <v>0</v>
      </c>
      <c r="V38" s="52">
        <v>0</v>
      </c>
      <c r="W38" s="52">
        <v>0</v>
      </c>
      <c r="X38" s="38">
        <v>0</v>
      </c>
      <c r="Y38" s="38">
        <v>0</v>
      </c>
      <c r="Z38" s="38">
        <v>0</v>
      </c>
      <c r="AA38" s="38">
        <v>0</v>
      </c>
      <c r="AB38" s="38">
        <v>0</v>
      </c>
      <c r="AC38" s="38"/>
      <c r="AD38" s="38"/>
      <c r="AE38" s="38"/>
    </row>
    <row r="39" ht="20.05" customHeight="1">
      <c r="S39" t="s" s="48">
        <v>24</v>
      </c>
      <c r="T39" s="31" cm="1">
        <f t="array" ref="T39">SUM(T29:T38)</f>
        <v>948</v>
      </c>
      <c r="U39" s="52" cm="1">
        <f t="array" ref="U39">SUM(U29:U38)</f>
        <v>138.88</v>
      </c>
      <c r="V39" s="52" cm="1">
        <f t="array" ref="V39">SUM(V29:V38)</f>
        <v>2560</v>
      </c>
      <c r="W39" s="52" cm="1">
        <f t="array" ref="W39">SUM(W29:W38)</f>
        <v>2956.23</v>
      </c>
      <c r="X39" s="52" cm="1">
        <f t="array" ref="X39">SUM(X29:X38)</f>
        <v>2343.08</v>
      </c>
      <c r="Y39" s="52" cm="1">
        <f t="array" ref="Y39">SUM(Y29:Y38)</f>
        <v>2343.08</v>
      </c>
      <c r="Z39" s="52" cm="1">
        <f t="array" ref="Z39">SUM(Z29:Z38)</f>
        <v>2556.23</v>
      </c>
      <c r="AA39" s="52" cm="1">
        <f t="array" ref="AA39">SUM(AA29:AA38)</f>
        <v>2343.08</v>
      </c>
      <c r="AB39" s="52" cm="1">
        <f t="array" ref="AB39">SUM(AB29:AB38)</f>
        <v>2316.98</v>
      </c>
      <c r="AC39" s="52" cm="1">
        <f t="array" ref="AC39">SUM(AC29:AC38)</f>
        <v>0</v>
      </c>
      <c r="AD39" s="52" cm="1">
        <f t="array" ref="AD39">SUM(AD29:AD38)</f>
        <v>0</v>
      </c>
      <c r="AE39" s="52" cm="1">
        <f t="array" ref="AE39">SUM(AE29:AE38)</f>
        <v>0</v>
      </c>
    </row>
    <row r="41" ht="27.65" customHeight="1">
      <c r="AF41" t="s" s="2">
        <v>29</v>
      </c>
      <c r="AG41" s="2"/>
      <c r="AH41" s="2"/>
      <c r="AI41" s="2"/>
      <c r="AJ41" s="2"/>
    </row>
    <row r="42" ht="20.25" customHeight="1">
      <c r="AF42" t="s" s="62">
        <v>30</v>
      </c>
      <c r="AG42" t="s" s="62">
        <v>31</v>
      </c>
      <c r="AH42" s="12"/>
      <c r="AI42" s="12"/>
      <c r="AJ42" s="12"/>
    </row>
    <row r="43" ht="20.25" customHeight="1">
      <c r="AF43" s="63">
        <v>879.64</v>
      </c>
      <c r="AG43" s="54">
        <v>1023.52</v>
      </c>
      <c r="AH43" s="64" cm="1">
        <f t="array" ref="AH43">$AF43/AG43</f>
        <v>0.859426293575113</v>
      </c>
      <c r="AI43" s="55"/>
      <c r="AJ43" s="55"/>
    </row>
    <row r="44" ht="20.05" customHeight="1">
      <c r="AF44" s="65">
        <v>1421.54</v>
      </c>
      <c r="AG44" s="56">
        <v>1660</v>
      </c>
      <c r="AH44" s="66" cm="1">
        <f t="array" ref="AH44">$AF44/AG44</f>
        <v>0.856349397590361</v>
      </c>
      <c r="AI44" s="57"/>
      <c r="AJ44" s="57"/>
    </row>
    <row r="45" ht="20.05" customHeight="1">
      <c r="AF45" s="65">
        <v>1500</v>
      </c>
      <c r="AG45" s="56">
        <v>1745.62</v>
      </c>
      <c r="AH45" s="66" cm="1">
        <f t="array" ref="AH45">$AF45/AG45</f>
        <v>0.859293546132606</v>
      </c>
      <c r="AI45" s="57"/>
      <c r="AJ45" s="57"/>
    </row>
    <row r="46" ht="20.05" customHeight="1">
      <c r="AF46" s="58"/>
      <c r="AG46" s="59"/>
      <c r="AH46" s="57"/>
      <c r="AI46" s="57"/>
      <c r="AJ46" s="57"/>
    </row>
    <row r="47" ht="20.05" customHeight="1">
      <c r="AF47" s="58"/>
      <c r="AG47" s="59"/>
      <c r="AH47" s="57"/>
      <c r="AI47" s="57"/>
      <c r="AJ47" s="57"/>
    </row>
    <row r="48" ht="20.05" customHeight="1">
      <c r="AF48" s="58"/>
      <c r="AG48" s="59"/>
      <c r="AH48" s="57"/>
      <c r="AI48" s="57"/>
      <c r="AJ48" s="57"/>
    </row>
    <row r="49" ht="20.05" customHeight="1">
      <c r="AF49" s="58"/>
      <c r="AG49" s="59"/>
      <c r="AH49" s="57"/>
      <c r="AI49" s="57"/>
      <c r="AJ49" s="57"/>
    </row>
    <row r="50" ht="20.05" customHeight="1">
      <c r="AF50" s="58"/>
      <c r="AG50" s="59"/>
      <c r="AH50" s="57"/>
      <c r="AI50" s="57"/>
      <c r="AJ50" s="57"/>
    </row>
    <row r="51" ht="20.05" customHeight="1">
      <c r="AF51" t="s" s="48">
        <v>32</v>
      </c>
      <c r="AG51" s="59"/>
      <c r="AH51" s="66" cm="1">
        <f t="array" ref="AH51">(SUM($AF43:$AF50))/(SUM(AG43:AG50))</f>
        <v>0.858220783267181</v>
      </c>
      <c r="AI51" s="57"/>
      <c r="AJ51" s="57"/>
    </row>
  </sheetData>
  <mergeCells count="4">
    <mergeCell ref="A1:M1"/>
    <mergeCell ref="N15:R15"/>
    <mergeCell ref="S27:AE27"/>
    <mergeCell ref="AF41:AJ4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K23"/>
  <sheetViews>
    <sheetView workbookViewId="0" showGridLines="0" defaultGridColor="1"/>
  </sheetViews>
  <sheetFormatPr defaultColWidth="12.6667" defaultRowHeight="15.75" customHeight="1" outlineLevelRow="0" outlineLevelCol="0"/>
  <cols>
    <col min="1" max="1" width="4" style="67" customWidth="1"/>
    <col min="2" max="2" width="13.6719" style="67" customWidth="1"/>
    <col min="3" max="28" width="6.85156" style="67" customWidth="1"/>
    <col min="29" max="29" width="9.85156" style="67" customWidth="1"/>
    <col min="30" max="30" width="10.3516" style="67" customWidth="1"/>
    <col min="31" max="32" width="6.85156" style="67" customWidth="1"/>
    <col min="33" max="33" width="11.6719" style="67" customWidth="1"/>
    <col min="34" max="34" width="10.8516" style="67" customWidth="1"/>
    <col min="35" max="35" width="6.85156" style="67" customWidth="1"/>
    <col min="36" max="37" width="12.6719" style="67" customWidth="1"/>
    <col min="38" max="16384" width="12.6719" style="67" customWidth="1"/>
  </cols>
  <sheetData>
    <row r="1" ht="14.15" customHeight="1">
      <c r="A1" s="68"/>
      <c r="B1" s="69"/>
      <c r="C1" s="69"/>
      <c r="D1" s="69"/>
      <c r="E1" s="69"/>
      <c r="F1" s="69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</row>
    <row r="2" ht="25.65" customHeight="1">
      <c r="A2" s="70"/>
      <c r="B2" t="s" s="71">
        <v>33</v>
      </c>
      <c r="C2" t="s" s="72">
        <v>34</v>
      </c>
      <c r="D2" s="73">
        <v>0.87</v>
      </c>
      <c r="E2" s="74"/>
      <c r="F2" s="75"/>
      <c r="G2" s="76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</row>
    <row r="3" ht="14.65" customHeight="1">
      <c r="A3" s="77"/>
      <c r="B3" s="78"/>
      <c r="C3" s="78"/>
      <c r="D3" s="78"/>
      <c r="E3" s="78"/>
      <c r="F3" s="78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7"/>
      <c r="AF3" s="77"/>
      <c r="AG3" s="77"/>
      <c r="AH3" s="77"/>
      <c r="AI3" s="77"/>
      <c r="AJ3" s="77"/>
      <c r="AK3" s="77"/>
    </row>
    <row r="4" ht="14.15" customHeight="1">
      <c r="A4" s="80"/>
      <c r="B4" s="81"/>
      <c r="C4" t="s" s="82">
        <v>35</v>
      </c>
      <c r="D4" s="83"/>
      <c r="E4" s="84"/>
      <c r="F4" s="85"/>
      <c r="G4" t="s" s="86">
        <v>36</v>
      </c>
      <c r="H4" s="83"/>
      <c r="I4" s="84"/>
      <c r="J4" s="84"/>
      <c r="K4" s="85"/>
      <c r="L4" t="s" s="87">
        <v>37</v>
      </c>
      <c r="M4" s="83"/>
      <c r="N4" s="84"/>
      <c r="O4" s="85"/>
      <c r="P4" t="s" s="88">
        <v>38</v>
      </c>
      <c r="Q4" s="83"/>
      <c r="R4" s="84"/>
      <c r="S4" s="85"/>
      <c r="T4" t="s" s="87">
        <v>39</v>
      </c>
      <c r="U4" s="83"/>
      <c r="V4" s="84"/>
      <c r="W4" s="84"/>
      <c r="X4" s="85"/>
      <c r="Y4" t="s" s="86">
        <v>40</v>
      </c>
      <c r="Z4" s="83"/>
      <c r="AA4" s="84"/>
      <c r="AB4" s="85"/>
      <c r="AC4" s="89"/>
      <c r="AD4" s="90"/>
      <c r="AE4" s="91"/>
      <c r="AF4" s="92"/>
      <c r="AG4" s="92"/>
      <c r="AH4" s="92"/>
      <c r="AI4" s="92"/>
      <c r="AJ4" s="92"/>
      <c r="AK4" s="92"/>
    </row>
    <row r="5" ht="14.15" customHeight="1">
      <c r="A5" s="93"/>
      <c r="B5" s="94"/>
      <c r="C5" t="s" s="95">
        <v>41</v>
      </c>
      <c r="D5" t="s" s="95">
        <v>42</v>
      </c>
      <c r="E5" t="s" s="95">
        <v>43</v>
      </c>
      <c r="F5" t="s" s="95">
        <v>44</v>
      </c>
      <c r="G5" t="s" s="95">
        <v>45</v>
      </c>
      <c r="H5" t="s" s="95">
        <v>46</v>
      </c>
      <c r="I5" t="s" s="95">
        <v>47</v>
      </c>
      <c r="J5" t="s" s="95">
        <v>48</v>
      </c>
      <c r="K5" t="s" s="95">
        <v>49</v>
      </c>
      <c r="L5" t="s" s="95">
        <v>50</v>
      </c>
      <c r="M5" t="s" s="95">
        <v>51</v>
      </c>
      <c r="N5" t="s" s="95">
        <v>52</v>
      </c>
      <c r="O5" t="s" s="95">
        <v>53</v>
      </c>
      <c r="P5" t="s" s="95">
        <v>54</v>
      </c>
      <c r="Q5" t="s" s="95">
        <v>55</v>
      </c>
      <c r="R5" t="s" s="95">
        <v>56</v>
      </c>
      <c r="S5" t="s" s="95">
        <v>57</v>
      </c>
      <c r="T5" t="s" s="95">
        <v>58</v>
      </c>
      <c r="U5" t="s" s="95">
        <v>59</v>
      </c>
      <c r="V5" t="s" s="95">
        <v>60</v>
      </c>
      <c r="W5" t="s" s="95">
        <v>61</v>
      </c>
      <c r="X5" t="s" s="95">
        <v>62</v>
      </c>
      <c r="Y5" t="s" s="95">
        <v>63</v>
      </c>
      <c r="Z5" t="s" s="95">
        <v>64</v>
      </c>
      <c r="AA5" t="s" s="95">
        <v>65</v>
      </c>
      <c r="AB5" t="s" s="95">
        <v>66</v>
      </c>
      <c r="AC5" t="s" s="95">
        <v>67</v>
      </c>
      <c r="AD5" t="s" s="96">
        <v>68</v>
      </c>
      <c r="AE5" s="97"/>
      <c r="AF5" s="98"/>
      <c r="AG5" s="98"/>
      <c r="AH5" s="98"/>
      <c r="AI5" s="98"/>
      <c r="AJ5" s="98"/>
      <c r="AK5" s="99"/>
    </row>
    <row r="6" ht="14.15" customHeight="1">
      <c r="A6" s="100"/>
      <c r="B6" t="s" s="101">
        <v>14</v>
      </c>
      <c r="C6" s="102"/>
      <c r="D6" s="103"/>
      <c r="E6" s="103"/>
      <c r="F6" s="104"/>
      <c r="G6" s="105">
        <v>40</v>
      </c>
      <c r="H6" s="106">
        <v>40</v>
      </c>
      <c r="I6" s="106">
        <v>40</v>
      </c>
      <c r="J6" s="106">
        <v>40</v>
      </c>
      <c r="K6" s="107">
        <v>40</v>
      </c>
      <c r="L6" s="105">
        <v>40</v>
      </c>
      <c r="M6" s="106">
        <v>40</v>
      </c>
      <c r="N6" s="106">
        <v>40</v>
      </c>
      <c r="O6" s="107">
        <v>40</v>
      </c>
      <c r="P6" s="105">
        <v>40</v>
      </c>
      <c r="Q6" s="106">
        <v>40</v>
      </c>
      <c r="R6" s="106">
        <v>40</v>
      </c>
      <c r="S6" s="107">
        <v>40</v>
      </c>
      <c r="T6" s="108">
        <v>40</v>
      </c>
      <c r="U6" s="109">
        <v>40</v>
      </c>
      <c r="V6" s="110">
        <v>40</v>
      </c>
      <c r="W6" s="110">
        <v>40</v>
      </c>
      <c r="X6" s="110">
        <v>40</v>
      </c>
      <c r="Y6" s="111">
        <v>40</v>
      </c>
      <c r="Z6" s="109">
        <v>40</v>
      </c>
      <c r="AA6" s="110">
        <v>40</v>
      </c>
      <c r="AB6" s="110">
        <v>40</v>
      </c>
      <c r="AC6" s="112"/>
      <c r="AD6" s="113"/>
      <c r="AE6" s="114"/>
      <c r="AF6" s="115"/>
      <c r="AG6" s="115"/>
      <c r="AH6" s="115"/>
      <c r="AI6" s="115"/>
      <c r="AJ6" s="115"/>
      <c r="AK6" s="115"/>
    </row>
    <row r="7" ht="13.65" customHeight="1">
      <c r="A7" s="116"/>
      <c r="B7" t="s" s="117">
        <v>69</v>
      </c>
      <c r="C7" s="118"/>
      <c r="D7" s="119">
        <v>20</v>
      </c>
      <c r="E7" s="119">
        <v>20</v>
      </c>
      <c r="F7" s="120">
        <v>20</v>
      </c>
      <c r="G7" s="121">
        <v>20</v>
      </c>
      <c r="H7" s="122">
        <v>20</v>
      </c>
      <c r="I7" s="122">
        <v>20</v>
      </c>
      <c r="J7" s="122">
        <v>20</v>
      </c>
      <c r="K7" s="123">
        <v>20</v>
      </c>
      <c r="L7" s="124">
        <v>20</v>
      </c>
      <c r="M7" s="125">
        <v>20</v>
      </c>
      <c r="N7" s="125">
        <v>20</v>
      </c>
      <c r="O7" s="126">
        <v>20</v>
      </c>
      <c r="P7" s="127">
        <v>20</v>
      </c>
      <c r="Q7" s="128">
        <v>20</v>
      </c>
      <c r="R7" s="128">
        <v>20</v>
      </c>
      <c r="S7" s="129">
        <v>20</v>
      </c>
      <c r="T7" s="124">
        <v>20</v>
      </c>
      <c r="U7" s="125">
        <v>20</v>
      </c>
      <c r="V7" s="125">
        <v>20</v>
      </c>
      <c r="W7" s="125">
        <v>20</v>
      </c>
      <c r="X7" s="126">
        <v>20</v>
      </c>
      <c r="Y7" s="121">
        <v>20</v>
      </c>
      <c r="Z7" s="122">
        <v>20</v>
      </c>
      <c r="AA7" s="122">
        <v>20</v>
      </c>
      <c r="AB7" s="123">
        <v>20</v>
      </c>
      <c r="AC7" s="130" cm="1">
        <f t="array" ref="AC7">SUM(C7:AB7)</f>
        <v>500</v>
      </c>
      <c r="AD7" s="131" cm="1">
        <f t="array" ref="AD7">$D$2*AC7</f>
        <v>435</v>
      </c>
      <c r="AE7" s="132"/>
      <c r="AF7" s="68"/>
      <c r="AG7" s="68"/>
      <c r="AH7" s="68"/>
      <c r="AI7" s="68"/>
      <c r="AJ7" s="68"/>
      <c r="AK7" s="68"/>
    </row>
    <row r="8" ht="13.65" customHeight="1">
      <c r="A8" s="116"/>
      <c r="B8" t="s" s="133">
        <v>70</v>
      </c>
      <c r="C8" s="134"/>
      <c r="D8" s="135">
        <v>90</v>
      </c>
      <c r="E8" s="119">
        <v>70</v>
      </c>
      <c r="F8" s="120">
        <v>70</v>
      </c>
      <c r="G8" s="121">
        <v>90</v>
      </c>
      <c r="H8" s="122">
        <v>80</v>
      </c>
      <c r="I8" s="122">
        <v>80</v>
      </c>
      <c r="J8" s="122">
        <v>80</v>
      </c>
      <c r="K8" s="123">
        <v>80</v>
      </c>
      <c r="L8" s="124">
        <v>90</v>
      </c>
      <c r="M8" s="125">
        <v>80</v>
      </c>
      <c r="N8" s="125">
        <v>80</v>
      </c>
      <c r="O8" s="126">
        <v>80</v>
      </c>
      <c r="P8" s="127">
        <v>90</v>
      </c>
      <c r="Q8" s="128">
        <v>80</v>
      </c>
      <c r="R8" s="128">
        <v>80</v>
      </c>
      <c r="S8" s="129">
        <v>80</v>
      </c>
      <c r="T8" s="124">
        <v>90</v>
      </c>
      <c r="U8" s="125">
        <v>80</v>
      </c>
      <c r="V8" s="125">
        <v>80</v>
      </c>
      <c r="W8" s="125">
        <v>80</v>
      </c>
      <c r="X8" s="126">
        <v>80</v>
      </c>
      <c r="Y8" s="121">
        <v>90</v>
      </c>
      <c r="Z8" s="122">
        <v>80</v>
      </c>
      <c r="AA8" s="122">
        <v>80</v>
      </c>
      <c r="AB8" s="122">
        <v>80</v>
      </c>
      <c r="AC8" s="136" cm="1">
        <f t="array" ref="AC8">SUM(C8:AB8)</f>
        <v>2040</v>
      </c>
      <c r="AD8" s="131" cm="1">
        <f t="array" ref="AD8">$D$2*AC8</f>
        <v>1774.8</v>
      </c>
      <c r="AE8" s="132"/>
      <c r="AF8" s="68"/>
      <c r="AG8" s="68"/>
      <c r="AH8" s="68"/>
      <c r="AI8" s="68"/>
      <c r="AJ8" s="68"/>
      <c r="AK8" s="68"/>
    </row>
    <row r="9" ht="13.65" customHeight="1">
      <c r="A9" s="116"/>
      <c r="B9" t="s" s="117">
        <v>71</v>
      </c>
      <c r="C9" s="118"/>
      <c r="D9" s="119">
        <v>25</v>
      </c>
      <c r="E9" s="119">
        <v>25</v>
      </c>
      <c r="F9" s="120">
        <v>25</v>
      </c>
      <c r="G9" s="121">
        <v>25</v>
      </c>
      <c r="H9" s="122">
        <v>25</v>
      </c>
      <c r="I9" s="122">
        <v>25</v>
      </c>
      <c r="J9" s="122">
        <v>25</v>
      </c>
      <c r="K9" s="123">
        <v>25</v>
      </c>
      <c r="L9" s="124">
        <v>25</v>
      </c>
      <c r="M9" s="125">
        <v>25</v>
      </c>
      <c r="N9" s="125">
        <v>25</v>
      </c>
      <c r="O9" s="126">
        <v>25</v>
      </c>
      <c r="P9" s="127">
        <v>25</v>
      </c>
      <c r="Q9" s="128">
        <v>25</v>
      </c>
      <c r="R9" s="128">
        <v>25</v>
      </c>
      <c r="S9" s="129">
        <v>25</v>
      </c>
      <c r="T9" s="124">
        <v>25</v>
      </c>
      <c r="U9" s="125">
        <v>25</v>
      </c>
      <c r="V9" s="125">
        <v>25</v>
      </c>
      <c r="W9" s="125">
        <v>25</v>
      </c>
      <c r="X9" s="126">
        <v>25</v>
      </c>
      <c r="Y9" s="121">
        <v>25</v>
      </c>
      <c r="Z9" s="122">
        <v>25</v>
      </c>
      <c r="AA9" s="122">
        <v>25</v>
      </c>
      <c r="AB9" s="123">
        <v>25</v>
      </c>
      <c r="AC9" s="130" cm="1">
        <f t="array" ref="AC9">SUM(C9:AB9)</f>
        <v>625</v>
      </c>
      <c r="AD9" s="131" cm="1">
        <f t="array" ref="AD9">$D$2*AC9</f>
        <v>543.75</v>
      </c>
      <c r="AE9" s="132"/>
      <c r="AF9" s="68"/>
      <c r="AG9" s="68"/>
      <c r="AH9" s="68"/>
      <c r="AI9" s="68"/>
      <c r="AJ9" s="68"/>
      <c r="AK9" s="68"/>
    </row>
    <row r="10" ht="13.65" customHeight="1">
      <c r="A10" s="116"/>
      <c r="B10" t="s" s="117">
        <v>72</v>
      </c>
      <c r="C10" s="118"/>
      <c r="D10" s="119">
        <v>8</v>
      </c>
      <c r="E10" s="119">
        <v>8</v>
      </c>
      <c r="F10" s="120">
        <v>8</v>
      </c>
      <c r="G10" s="121" cm="1">
        <f t="array" ref="G10">F10</f>
        <v>8</v>
      </c>
      <c r="H10" s="122" cm="1">
        <f t="array" ref="H10">G10</f>
        <v>8</v>
      </c>
      <c r="I10" s="122" cm="1">
        <f t="array" ref="I10">H10</f>
        <v>8</v>
      </c>
      <c r="J10" s="122" cm="1">
        <f t="array" ref="J10">I10</f>
        <v>8</v>
      </c>
      <c r="K10" s="122" cm="1">
        <f t="array" ref="K10">J10</f>
        <v>8</v>
      </c>
      <c r="L10" s="125" cm="1">
        <f t="array" ref="L10">K10</f>
        <v>8</v>
      </c>
      <c r="M10" s="125" cm="1">
        <f t="array" ref="M10">L10</f>
        <v>8</v>
      </c>
      <c r="N10" s="125" cm="1">
        <f t="array" ref="N10">M10</f>
        <v>8</v>
      </c>
      <c r="O10" s="125" cm="1">
        <f t="array" ref="O10">N10</f>
        <v>8</v>
      </c>
      <c r="P10" s="128" cm="1">
        <f t="array" ref="P10">O10</f>
        <v>8</v>
      </c>
      <c r="Q10" s="128" cm="1">
        <f t="array" ref="Q10">P10</f>
        <v>8</v>
      </c>
      <c r="R10" s="128" cm="1">
        <f t="array" ref="R10">Q10</f>
        <v>8</v>
      </c>
      <c r="S10" s="128" cm="1">
        <f t="array" ref="S10">R10</f>
        <v>8</v>
      </c>
      <c r="T10" s="125" cm="1">
        <f t="array" ref="T10">S10</f>
        <v>8</v>
      </c>
      <c r="U10" s="125" cm="1">
        <f t="array" ref="U10">T10</f>
        <v>8</v>
      </c>
      <c r="V10" s="125" cm="1">
        <f t="array" ref="V10">U10</f>
        <v>8</v>
      </c>
      <c r="W10" s="125" cm="1">
        <f t="array" ref="W10">V10</f>
        <v>8</v>
      </c>
      <c r="X10" s="125" cm="1">
        <f t="array" ref="X10">W10</f>
        <v>8</v>
      </c>
      <c r="Y10" s="122" cm="1">
        <f t="array" ref="Y10">X10</f>
        <v>8</v>
      </c>
      <c r="Z10" s="122" cm="1">
        <f t="array" ref="Z10">Y10</f>
        <v>8</v>
      </c>
      <c r="AA10" s="122" cm="1">
        <f t="array" ref="AA10">Z10</f>
        <v>8</v>
      </c>
      <c r="AB10" s="122" cm="1">
        <f t="array" ref="AB10">AA10</f>
        <v>8</v>
      </c>
      <c r="AC10" s="136" cm="1">
        <f t="array" ref="AC10">SUM(C10:AB10)</f>
        <v>200</v>
      </c>
      <c r="AD10" s="131" cm="1">
        <f t="array" ref="AD10">$D$2*AC10</f>
        <v>174</v>
      </c>
      <c r="AE10" s="132"/>
      <c r="AF10" s="68"/>
      <c r="AG10" s="68"/>
      <c r="AH10" s="68"/>
      <c r="AI10" s="68"/>
      <c r="AJ10" s="68"/>
      <c r="AK10" s="68"/>
    </row>
    <row r="11" ht="13.65" customHeight="1">
      <c r="A11" s="116"/>
      <c r="B11" t="s" s="137">
        <v>73</v>
      </c>
      <c r="C11" s="119"/>
      <c r="D11" s="119">
        <v>120</v>
      </c>
      <c r="E11" s="119">
        <v>120</v>
      </c>
      <c r="F11" s="119">
        <v>120</v>
      </c>
      <c r="G11" s="122">
        <v>80</v>
      </c>
      <c r="H11" s="122">
        <v>80</v>
      </c>
      <c r="I11" s="122">
        <v>80</v>
      </c>
      <c r="J11" s="122">
        <v>80</v>
      </c>
      <c r="K11" s="122">
        <v>80</v>
      </c>
      <c r="L11" s="122">
        <v>80</v>
      </c>
      <c r="M11" s="122">
        <v>80</v>
      </c>
      <c r="N11" s="122">
        <v>80</v>
      </c>
      <c r="O11" s="122">
        <v>80</v>
      </c>
      <c r="P11" s="122">
        <v>80</v>
      </c>
      <c r="Q11" s="122">
        <v>80</v>
      </c>
      <c r="R11" s="122">
        <v>80</v>
      </c>
      <c r="S11" s="122">
        <v>80</v>
      </c>
      <c r="T11" s="122">
        <v>80</v>
      </c>
      <c r="U11" s="122">
        <v>80</v>
      </c>
      <c r="V11" s="122">
        <v>80</v>
      </c>
      <c r="W11" s="122">
        <v>80</v>
      </c>
      <c r="X11" s="122">
        <v>80</v>
      </c>
      <c r="Y11" s="122">
        <v>80</v>
      </c>
      <c r="Z11" s="122">
        <v>80</v>
      </c>
      <c r="AA11" s="122">
        <v>80</v>
      </c>
      <c r="AB11" s="123">
        <v>80</v>
      </c>
      <c r="AC11" s="130" cm="1">
        <f t="array" ref="AC11">SUM(C11:AB11)</f>
        <v>2120</v>
      </c>
      <c r="AD11" s="131" cm="1">
        <f t="array" ref="AD11">$D$2*AC11</f>
        <v>1844.4</v>
      </c>
      <c r="AE11" s="132"/>
      <c r="AF11" s="68"/>
      <c r="AG11" s="68"/>
      <c r="AH11" s="68"/>
      <c r="AI11" s="68"/>
      <c r="AJ11" s="68"/>
      <c r="AK11" s="68"/>
    </row>
    <row r="12" ht="14.15" customHeight="1">
      <c r="A12" s="116"/>
      <c r="B12" s="138"/>
      <c r="C12" s="139"/>
      <c r="D12" s="140"/>
      <c r="E12" s="140"/>
      <c r="F12" s="141"/>
      <c r="G12" s="142"/>
      <c r="H12" s="143"/>
      <c r="I12" s="143"/>
      <c r="J12" s="143"/>
      <c r="K12" s="144"/>
      <c r="L12" s="145"/>
      <c r="M12" s="146"/>
      <c r="N12" s="146"/>
      <c r="O12" s="147"/>
      <c r="P12" s="148"/>
      <c r="Q12" s="149"/>
      <c r="R12" s="149"/>
      <c r="S12" s="150"/>
      <c r="T12" s="151"/>
      <c r="U12" s="152"/>
      <c r="V12" s="153"/>
      <c r="W12" s="153"/>
      <c r="X12" s="153"/>
      <c r="Y12" s="154"/>
      <c r="Z12" s="155"/>
      <c r="AA12" s="156"/>
      <c r="AB12" s="156"/>
      <c r="AC12" s="157" cm="1">
        <f t="array" ref="AC12">SUM(C12:Y12)</f>
        <v>0</v>
      </c>
      <c r="AD12" s="158" cm="1">
        <f t="array" ref="AD12">$D$2*AC12</f>
        <v>0</v>
      </c>
      <c r="AE12" s="132"/>
      <c r="AF12" s="68"/>
      <c r="AG12" s="68"/>
      <c r="AH12" s="68"/>
      <c r="AI12" s="68"/>
      <c r="AJ12" s="68"/>
      <c r="AK12" s="68"/>
    </row>
    <row r="13" ht="14.65" customHeight="1">
      <c r="A13" s="159"/>
      <c r="B13" t="s" s="160">
        <v>67</v>
      </c>
      <c r="C13" s="161" cm="1">
        <f t="array" ref="C13">SUM(C6:C12)</f>
        <v>0</v>
      </c>
      <c r="D13" s="162" cm="1">
        <f t="array" ref="D13">SUM(D6:D12)</f>
        <v>263</v>
      </c>
      <c r="E13" s="162" cm="1">
        <f t="array" ref="E13">SUM(E6:E12)</f>
        <v>243</v>
      </c>
      <c r="F13" s="163" cm="1">
        <f t="array" ref="F13">SUM(F6:F12)</f>
        <v>243</v>
      </c>
      <c r="G13" s="164" cm="1">
        <f t="array" ref="G13">SUM(G6:G12)</f>
        <v>263</v>
      </c>
      <c r="H13" s="165" cm="1">
        <f t="array" ref="H13">SUM(H6:H12)</f>
        <v>253</v>
      </c>
      <c r="I13" s="165" cm="1">
        <f t="array" ref="I13">SUM(I6:I12)</f>
        <v>253</v>
      </c>
      <c r="J13" s="165" cm="1">
        <f t="array" ref="J13">SUM(J6:J12)</f>
        <v>253</v>
      </c>
      <c r="K13" s="166" cm="1">
        <f t="array" ref="K13">SUM(K6:K12)</f>
        <v>253</v>
      </c>
      <c r="L13" s="167" cm="1">
        <f t="array" ref="L13">SUM(L6:L12)</f>
        <v>263</v>
      </c>
      <c r="M13" s="168" cm="1">
        <f t="array" ref="M13">SUM(M6:M12)</f>
        <v>253</v>
      </c>
      <c r="N13" s="168" cm="1">
        <f t="array" ref="N13">SUM(N6:N12)</f>
        <v>253</v>
      </c>
      <c r="O13" s="169" cm="1">
        <f t="array" ref="O13">SUM(O6:O12)</f>
        <v>253</v>
      </c>
      <c r="P13" s="170" cm="1">
        <f t="array" ref="P13">SUM(P6:P12)</f>
        <v>263</v>
      </c>
      <c r="Q13" s="171" cm="1">
        <f t="array" ref="Q13">SUM(Q6:Q12)</f>
        <v>253</v>
      </c>
      <c r="R13" s="171" cm="1">
        <f t="array" ref="R13">SUM(R6:R12)</f>
        <v>253</v>
      </c>
      <c r="S13" s="172" cm="1">
        <f t="array" ref="S13">SUM(S6:S12)</f>
        <v>253</v>
      </c>
      <c r="T13" s="173" cm="1">
        <f t="array" ref="T13">SUM(T6:T12)</f>
        <v>263</v>
      </c>
      <c r="U13" s="173" cm="1">
        <f t="array" ref="U13">SUM(U6:U12)</f>
        <v>253</v>
      </c>
      <c r="V13" s="173" cm="1">
        <f t="array" ref="V13">SUM(V6:V12)</f>
        <v>253</v>
      </c>
      <c r="W13" s="173" cm="1">
        <f t="array" ref="W13">SUM(W6:W12)</f>
        <v>253</v>
      </c>
      <c r="X13" s="173" cm="1">
        <f t="array" ref="X13">SUM(X6:X12)</f>
        <v>253</v>
      </c>
      <c r="Y13" s="174" cm="1">
        <f t="array" ref="Y13">SUM(Y6:Y12)</f>
        <v>263</v>
      </c>
      <c r="Z13" s="174" cm="1">
        <f t="array" ref="Z13">SUM(Z6:Z12)</f>
        <v>253</v>
      </c>
      <c r="AA13" s="174" cm="1">
        <f t="array" ref="AA13">SUM(AA6:AA12)</f>
        <v>253</v>
      </c>
      <c r="AB13" s="174" cm="1">
        <f t="array" ref="AB13">SUM(AB6:AB12)</f>
        <v>253</v>
      </c>
      <c r="AC13" s="175" cm="1">
        <f t="array" ref="AC13">SUM(C13:AB13)</f>
        <v>6365</v>
      </c>
      <c r="AD13" s="176" cm="1">
        <f t="array" ref="AD13">$D$2*AC13</f>
        <v>5537.55</v>
      </c>
      <c r="AE13" s="132"/>
      <c r="AF13" s="68"/>
      <c r="AG13" s="68"/>
      <c r="AH13" s="68"/>
      <c r="AI13" s="68"/>
      <c r="AJ13" s="68"/>
      <c r="AK13" s="68"/>
    </row>
    <row r="14" ht="14.65" customHeight="1">
      <c r="A14" s="159"/>
      <c r="B14" t="s" s="177">
        <v>74</v>
      </c>
      <c r="C14" s="178" cm="1">
        <f t="array" ref="C14">SUM(C13:F13)</f>
        <v>749</v>
      </c>
      <c r="D14" s="179"/>
      <c r="E14" s="180"/>
      <c r="F14" s="181"/>
      <c r="G14" s="182" cm="1">
        <f t="array" ref="G14">SUM(G13:K13)</f>
        <v>1275</v>
      </c>
      <c r="H14" s="179"/>
      <c r="I14" s="180"/>
      <c r="J14" s="180"/>
      <c r="K14" s="181"/>
      <c r="L14" s="183" cm="1">
        <f t="array" ref="L14">SUM(L13:O13)</f>
        <v>1022</v>
      </c>
      <c r="M14" s="179"/>
      <c r="N14" s="180"/>
      <c r="O14" s="181"/>
      <c r="P14" s="184" cm="1">
        <f t="array" ref="P14">SUM(P13:S13)</f>
        <v>1022</v>
      </c>
      <c r="Q14" s="179"/>
      <c r="R14" s="180"/>
      <c r="S14" s="181"/>
      <c r="T14" s="183" cm="1">
        <f t="array" ref="T14">T13+U13+V13+X13+W13</f>
        <v>1275</v>
      </c>
      <c r="U14" s="179"/>
      <c r="V14" s="180"/>
      <c r="W14" s="180"/>
      <c r="X14" s="181"/>
      <c r="Y14" s="182" cm="1">
        <f t="array" ref="Y14">Y13+Z13+AA13+AB13</f>
        <v>1022</v>
      </c>
      <c r="Z14" s="179"/>
      <c r="AA14" s="180"/>
      <c r="AB14" s="181"/>
      <c r="AC14" s="175" cm="1">
        <f t="array" ref="AC14">SUM(C14:AB14)</f>
        <v>6365</v>
      </c>
      <c r="AD14" s="185" cm="1">
        <f t="array" ref="AD14">$D$2*AC14</f>
        <v>5537.55</v>
      </c>
      <c r="AE14" s="132"/>
      <c r="AF14" s="68"/>
      <c r="AG14" s="68"/>
      <c r="AH14" s="68"/>
      <c r="AI14" s="68"/>
      <c r="AJ14" s="68"/>
      <c r="AK14" s="68"/>
    </row>
    <row r="15" ht="14.65" customHeight="1">
      <c r="A15" s="116"/>
      <c r="B15" t="s" s="186">
        <v>75</v>
      </c>
      <c r="C15" s="187" cm="1">
        <f t="array" ref="C15">$D$2*C13</f>
        <v>0</v>
      </c>
      <c r="D15" s="188" cm="1">
        <f t="array" ref="D15">$D$2*D13</f>
        <v>228.81</v>
      </c>
      <c r="E15" s="188" cm="1">
        <f t="array" ref="E15">$D$2*E13</f>
        <v>211.41</v>
      </c>
      <c r="F15" s="189" cm="1">
        <f t="array" ref="F15">$D$2*F13</f>
        <v>211.41</v>
      </c>
      <c r="G15" s="190" cm="1">
        <f t="array" ref="G15">$D$2*G13</f>
        <v>228.81</v>
      </c>
      <c r="H15" s="191" cm="1">
        <f t="array" ref="H15">$D$2*H13</f>
        <v>220.11</v>
      </c>
      <c r="I15" s="191" cm="1">
        <f t="array" ref="I15">$D$2*I13</f>
        <v>220.11</v>
      </c>
      <c r="J15" s="191" cm="1">
        <f t="array" ref="J15">$D$2*J13</f>
        <v>220.11</v>
      </c>
      <c r="K15" s="192" cm="1">
        <f t="array" ref="K15">$D$2*K13</f>
        <v>220.11</v>
      </c>
      <c r="L15" s="193" cm="1">
        <f t="array" ref="L15">$D$2*L13</f>
        <v>228.81</v>
      </c>
      <c r="M15" s="194" cm="1">
        <f t="array" ref="M15">$D$2*M13</f>
        <v>220.11</v>
      </c>
      <c r="N15" s="194" cm="1">
        <f t="array" ref="N15">$D$2*N13</f>
        <v>220.11</v>
      </c>
      <c r="O15" s="195" cm="1">
        <f t="array" ref="O15">$D$2*O13</f>
        <v>220.11</v>
      </c>
      <c r="P15" s="196" cm="1">
        <f t="array" ref="P15">$D$2*P13</f>
        <v>228.81</v>
      </c>
      <c r="Q15" s="197" cm="1">
        <f t="array" ref="Q15">$D$2*Q13</f>
        <v>220.11</v>
      </c>
      <c r="R15" s="197" cm="1">
        <f t="array" ref="R15">$D$2*R13</f>
        <v>220.11</v>
      </c>
      <c r="S15" s="198" cm="1">
        <f t="array" ref="S15">$D$2*S13</f>
        <v>220.11</v>
      </c>
      <c r="T15" s="199" cm="1">
        <f t="array" ref="T15">$D$2*T13</f>
        <v>228.81</v>
      </c>
      <c r="U15" s="199" cm="1">
        <f t="array" ref="U15">$D$2*U13</f>
        <v>220.11</v>
      </c>
      <c r="V15" s="199" cm="1">
        <f t="array" ref="V15">$D$2*V13</f>
        <v>220.11</v>
      </c>
      <c r="W15" s="199" cm="1">
        <f t="array" ref="W15">$D$2*W13</f>
        <v>220.11</v>
      </c>
      <c r="X15" s="199" cm="1">
        <f t="array" ref="X15">$D$2*X13</f>
        <v>220.11</v>
      </c>
      <c r="Y15" s="200" cm="1">
        <f t="array" ref="Y15">$D$2*Y13</f>
        <v>228.81</v>
      </c>
      <c r="Z15" s="200" cm="1">
        <f t="array" ref="Z15">$D$2*Z13</f>
        <v>220.11</v>
      </c>
      <c r="AA15" s="200" cm="1">
        <f t="array" ref="AA15">$D$2*AA13</f>
        <v>220.11</v>
      </c>
      <c r="AB15" s="200" cm="1">
        <f t="array" ref="AB15">$D$2*AB13</f>
        <v>220.11</v>
      </c>
      <c r="AC15" s="201"/>
      <c r="AD15" s="202"/>
      <c r="AE15" s="132"/>
      <c r="AF15" s="68"/>
      <c r="AG15" s="68"/>
      <c r="AH15" s="68"/>
      <c r="AI15" s="68"/>
      <c r="AJ15" s="68"/>
      <c r="AK15" s="68"/>
    </row>
    <row r="16" ht="8.25" customHeight="1">
      <c r="A16" s="203"/>
      <c r="B16" s="204"/>
      <c r="C16" s="205"/>
      <c r="D16" s="205"/>
      <c r="E16" s="205"/>
      <c r="F16" s="205"/>
      <c r="G16" s="206"/>
      <c r="H16" s="206"/>
      <c r="I16" s="206"/>
      <c r="J16" s="206"/>
      <c r="K16" s="206"/>
      <c r="L16" s="207"/>
      <c r="M16" s="207"/>
      <c r="N16" s="207"/>
      <c r="O16" s="207"/>
      <c r="P16" s="208"/>
      <c r="Q16" s="208"/>
      <c r="R16" s="208"/>
      <c r="S16" s="208"/>
      <c r="T16" s="207"/>
      <c r="U16" s="207"/>
      <c r="V16" s="207"/>
      <c r="W16" s="207"/>
      <c r="X16" s="207"/>
      <c r="Y16" s="206"/>
      <c r="Z16" s="206"/>
      <c r="AA16" s="206"/>
      <c r="AB16" s="206"/>
      <c r="AC16" s="209"/>
      <c r="AD16" s="210"/>
      <c r="AE16" s="211"/>
      <c r="AF16" s="68"/>
      <c r="AG16" s="68"/>
      <c r="AH16" s="68"/>
      <c r="AI16" s="68"/>
      <c r="AJ16" s="68"/>
      <c r="AK16" s="68"/>
    </row>
    <row r="17" ht="14.65" customHeight="1">
      <c r="A17" s="212"/>
      <c r="B17" t="s" s="213">
        <v>76</v>
      </c>
      <c r="C17" s="214" cm="1">
        <f t="array" ref="C17">9000-C15</f>
        <v>9000</v>
      </c>
      <c r="D17" s="214" cm="1">
        <f t="array" ref="D17">C17-D15</f>
        <v>8771.190000000001</v>
      </c>
      <c r="E17" s="214" cm="1">
        <f t="array" ref="E17">D17-E15</f>
        <v>8559.780000000001</v>
      </c>
      <c r="F17" s="214" cm="1">
        <f t="array" ref="F17">E17-F15</f>
        <v>8348.370000000001</v>
      </c>
      <c r="G17" s="215" cm="1">
        <f t="array" ref="G17">F17-G15</f>
        <v>8119.56</v>
      </c>
      <c r="H17" s="215" cm="1">
        <f t="array" ref="H17">G17-H15</f>
        <v>7899.45</v>
      </c>
      <c r="I17" s="215" cm="1">
        <f t="array" ref="I17">H17-I15</f>
        <v>7679.34</v>
      </c>
      <c r="J17" s="215" cm="1">
        <f t="array" ref="J17">I17-J15</f>
        <v>7459.23</v>
      </c>
      <c r="K17" s="215" cm="1">
        <f t="array" ref="K17">J17-K15</f>
        <v>7239.12</v>
      </c>
      <c r="L17" s="216" cm="1">
        <f t="array" ref="L17">K17-L15</f>
        <v>7010.31</v>
      </c>
      <c r="M17" s="216" cm="1">
        <f t="array" ref="M17">L17-M15</f>
        <v>6790.2</v>
      </c>
      <c r="N17" s="216" cm="1">
        <f t="array" ref="N17">M17-N15</f>
        <v>6570.09</v>
      </c>
      <c r="O17" s="216" cm="1">
        <f t="array" ref="O17">N17-O15</f>
        <v>6349.98</v>
      </c>
      <c r="P17" s="217" cm="1">
        <f t="array" ref="P17">O17-P15</f>
        <v>6121.17</v>
      </c>
      <c r="Q17" s="217" cm="1">
        <f t="array" ref="Q17">P17-Q15</f>
        <v>5901.06</v>
      </c>
      <c r="R17" s="217" cm="1">
        <f t="array" ref="R17">Q17-R15</f>
        <v>5680.95</v>
      </c>
      <c r="S17" s="217" cm="1">
        <f t="array" ref="S17">R17-S15</f>
        <v>5460.84</v>
      </c>
      <c r="T17" s="216" cm="1">
        <f t="array" ref="T17">S17-T15</f>
        <v>5232.03</v>
      </c>
      <c r="U17" s="216" cm="1">
        <f t="array" ref="U17">T17-U15</f>
        <v>5011.92</v>
      </c>
      <c r="V17" s="216" cm="1">
        <f t="array" ref="V17">U17-V15</f>
        <v>4791.81</v>
      </c>
      <c r="W17" s="216" cm="1">
        <f t="array" ref="W17">V17-W15</f>
        <v>4571.7</v>
      </c>
      <c r="X17" s="216" cm="1">
        <f t="array" ref="X17">W17-X15</f>
        <v>4351.59</v>
      </c>
      <c r="Y17" s="215" cm="1">
        <f t="array" ref="Y17">X17-Y15</f>
        <v>4122.78</v>
      </c>
      <c r="Z17" s="215" cm="1">
        <f t="array" ref="Z17">Y17-Z15</f>
        <v>3902.67</v>
      </c>
      <c r="AA17" s="215" cm="1">
        <f t="array" ref="AA17">Z17-AA15</f>
        <v>3682.56</v>
      </c>
      <c r="AB17" s="215" cm="1">
        <f t="array" ref="AB17">AA17-AB15</f>
        <v>3462.45</v>
      </c>
      <c r="AC17" t="s" s="218">
        <v>77</v>
      </c>
      <c r="AD17" s="219" cm="1">
        <f t="array" ref="AD17">AB17*1/D2</f>
        <v>3979.8275862069</v>
      </c>
      <c r="AE17" s="132"/>
      <c r="AF17" s="68"/>
      <c r="AG17" s="68"/>
      <c r="AH17" s="68"/>
      <c r="AI17" s="68"/>
      <c r="AJ17" s="68"/>
      <c r="AK17" s="68"/>
    </row>
    <row r="18" ht="14.15" customHeight="1">
      <c r="A18" s="68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1"/>
      <c r="AD18" s="221"/>
      <c r="AE18" s="68"/>
      <c r="AF18" s="68"/>
      <c r="AG18" s="68"/>
      <c r="AH18" s="68"/>
      <c r="AI18" s="68"/>
      <c r="AJ18" s="68"/>
      <c r="AK18" s="68"/>
    </row>
    <row r="19" ht="13.65" customHeight="1">
      <c r="A19" s="68"/>
      <c r="B19" t="s" s="222">
        <v>78</v>
      </c>
      <c r="C19" s="223">
        <v>1000</v>
      </c>
      <c r="D19" s="223" cm="1">
        <f t="array" ref="D19">C19*5</f>
        <v>5000</v>
      </c>
      <c r="E19" s="223" cm="1">
        <f t="array" ref="E19">D2*D19</f>
        <v>4350</v>
      </c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</row>
    <row r="20" ht="13.65" customHeight="1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</row>
    <row r="21" ht="13.6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</row>
    <row r="22" ht="13.6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</row>
    <row r="23" ht="13.65" customHeight="1">
      <c r="A23" s="68"/>
      <c r="B23" s="68"/>
      <c r="C23" s="68"/>
      <c r="D23" s="223" cm="1">
        <f t="array" ref="D23">210/6</f>
        <v>35</v>
      </c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</row>
  </sheetData>
  <mergeCells count="12">
    <mergeCell ref="P14:S14"/>
    <mergeCell ref="T14:X14"/>
    <mergeCell ref="C4:F4"/>
    <mergeCell ref="G4:K4"/>
    <mergeCell ref="L4:O4"/>
    <mergeCell ref="P4:S4"/>
    <mergeCell ref="T4:X4"/>
    <mergeCell ref="Y4:AB4"/>
    <mergeCell ref="C14:F14"/>
    <mergeCell ref="Y14:AB14"/>
    <mergeCell ref="G14:K14"/>
    <mergeCell ref="L14:O1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B2:M47"/>
  <sheetViews>
    <sheetView workbookViewId="0" showGridLines="0" defaultGridColor="1"/>
  </sheetViews>
  <sheetFormatPr defaultColWidth="10.8333" defaultRowHeight="19.9" customHeight="1" outlineLevelRow="0" outlineLevelCol="0"/>
  <cols>
    <col min="1" max="1" width="92.5312" style="224" customWidth="1"/>
    <col min="2" max="2" width="10.8359" style="224" customWidth="1"/>
    <col min="3" max="3" width="31.2266" style="224" customWidth="1"/>
    <col min="4" max="5" width="20.9219" style="224" customWidth="1"/>
    <col min="6" max="6" width="20.5859" style="244" customWidth="1"/>
    <col min="7" max="9" width="21.1094" style="244" customWidth="1"/>
    <col min="10" max="10" width="20.5859" style="256" customWidth="1"/>
    <col min="11" max="13" width="21.1094" style="256" customWidth="1"/>
    <col min="14" max="16384" width="10.8516" style="256" customWidth="1"/>
  </cols>
  <sheetData>
    <row r="1" ht="86" customHeight="1"/>
    <row r="2" ht="20.45" customHeight="1">
      <c r="B2" t="s" s="225">
        <v>79</v>
      </c>
      <c r="C2" t="s" s="226">
        <v>80</v>
      </c>
      <c r="D2" t="s" s="226">
        <v>81</v>
      </c>
      <c r="E2" t="s" s="227">
        <v>82</v>
      </c>
    </row>
    <row r="3" ht="20.45" customHeight="1">
      <c r="B3" t="s" s="228">
        <v>83</v>
      </c>
      <c r="C3" t="s" s="229">
        <v>84</v>
      </c>
      <c r="D3" t="s" s="230">
        <v>19</v>
      </c>
      <c r="E3" s="231">
        <v>800</v>
      </c>
    </row>
    <row r="4" ht="20.2" customHeight="1">
      <c r="B4" t="s" s="232">
        <v>83</v>
      </c>
      <c r="C4" t="s" s="233">
        <v>85</v>
      </c>
      <c r="D4" t="s" s="234">
        <v>86</v>
      </c>
      <c r="E4" s="235">
        <v>2.99</v>
      </c>
    </row>
    <row r="5" ht="20.2" customHeight="1">
      <c r="B5" t="s" s="236">
        <v>87</v>
      </c>
      <c r="C5" t="s" s="237">
        <v>88</v>
      </c>
      <c r="D5" t="s" s="238">
        <v>18</v>
      </c>
      <c r="E5" s="239">
        <v>21.6</v>
      </c>
    </row>
    <row r="6" ht="20.2" customHeight="1">
      <c r="B6" t="s" s="232">
        <v>89</v>
      </c>
      <c r="C6" t="s" s="233">
        <v>90</v>
      </c>
      <c r="D6" t="s" s="234">
        <v>86</v>
      </c>
      <c r="E6" s="235">
        <v>20.99</v>
      </c>
    </row>
    <row r="7" ht="20.2" customHeight="1">
      <c r="B7" t="s" s="236">
        <v>91</v>
      </c>
      <c r="C7" t="s" s="237">
        <v>92</v>
      </c>
      <c r="D7" t="s" s="238">
        <v>22</v>
      </c>
      <c r="E7" s="239">
        <v>21.84</v>
      </c>
    </row>
    <row r="8" ht="20.2" customHeight="1">
      <c r="B8" t="s" s="232">
        <v>91</v>
      </c>
      <c r="C8" t="s" s="233">
        <v>93</v>
      </c>
      <c r="D8" t="s" s="234">
        <v>20</v>
      </c>
      <c r="E8" s="235">
        <v>1.4</v>
      </c>
    </row>
    <row r="9" ht="20.2" customHeight="1">
      <c r="B9" t="s" s="236">
        <v>94</v>
      </c>
      <c r="C9" t="s" s="237">
        <v>92</v>
      </c>
      <c r="D9" t="s" s="238">
        <v>22</v>
      </c>
      <c r="E9" s="239">
        <v>5.6</v>
      </c>
    </row>
    <row r="10" ht="20.2" customHeight="1">
      <c r="B10" t="s" s="232">
        <v>95</v>
      </c>
      <c r="C10" t="s" s="233">
        <v>96</v>
      </c>
      <c r="D10" t="s" s="234">
        <v>19</v>
      </c>
      <c r="E10" s="235">
        <v>22.85</v>
      </c>
    </row>
    <row r="11" ht="20.2" customHeight="1">
      <c r="B11" t="s" s="236">
        <v>97</v>
      </c>
      <c r="C11" t="s" s="237">
        <v>98</v>
      </c>
      <c r="D11" t="s" s="238">
        <v>20</v>
      </c>
      <c r="E11" s="239">
        <v>5.4</v>
      </c>
    </row>
    <row r="12" ht="20.2" customHeight="1">
      <c r="B12" t="s" s="232">
        <v>97</v>
      </c>
      <c r="C12" t="s" s="233">
        <v>99</v>
      </c>
      <c r="D12" t="s" s="234">
        <v>100</v>
      </c>
      <c r="E12" s="235">
        <v>2.89</v>
      </c>
    </row>
    <row r="13" ht="20.2" customHeight="1">
      <c r="B13" t="s" s="236">
        <v>101</v>
      </c>
      <c r="C13" t="s" s="237">
        <v>92</v>
      </c>
      <c r="D13" t="s" s="238">
        <v>102</v>
      </c>
      <c r="E13" s="239">
        <v>30</v>
      </c>
    </row>
    <row r="14" ht="20.2" customHeight="1">
      <c r="B14" t="s" s="232">
        <v>103</v>
      </c>
      <c r="C14" t="s" s="233">
        <v>93</v>
      </c>
      <c r="D14" t="s" s="234">
        <v>20</v>
      </c>
      <c r="E14" s="235">
        <v>1.8</v>
      </c>
    </row>
    <row r="15" ht="20.2" customHeight="1">
      <c r="B15" t="s" s="236">
        <v>103</v>
      </c>
      <c r="C15" t="s" s="237">
        <v>104</v>
      </c>
      <c r="D15" t="s" s="238">
        <v>105</v>
      </c>
      <c r="E15" s="239">
        <v>597</v>
      </c>
    </row>
    <row r="16" ht="20.2" customHeight="1">
      <c r="B16" s="240"/>
      <c r="C16" s="234"/>
      <c r="D16" s="234"/>
      <c r="E16" s="241"/>
    </row>
    <row r="17" ht="20.2" customHeight="1">
      <c r="B17" s="242"/>
      <c r="C17" s="238"/>
      <c r="D17" t="s" s="238">
        <v>106</v>
      </c>
      <c r="E17" s="243"/>
    </row>
    <row r="18" ht="20.2" customHeight="1">
      <c r="B18" s="240"/>
      <c r="C18" s="234"/>
      <c r="D18" t="s" s="234">
        <v>106</v>
      </c>
      <c r="E18" s="241"/>
    </row>
    <row r="19" ht="20.2" customHeight="1">
      <c r="B19" s="242"/>
      <c r="C19" s="238"/>
      <c r="D19" t="s" s="238">
        <v>106</v>
      </c>
      <c r="E19" s="243"/>
    </row>
    <row r="20" ht="20.2" customHeight="1">
      <c r="B20" s="240"/>
      <c r="C20" s="234"/>
      <c r="D20" t="s" s="234">
        <v>106</v>
      </c>
      <c r="E20" s="241"/>
    </row>
    <row r="21" ht="20.2" customHeight="1">
      <c r="B21" s="242"/>
      <c r="C21" s="238"/>
      <c r="D21" t="s" s="238">
        <v>106</v>
      </c>
      <c r="E21" s="243"/>
    </row>
    <row r="22" ht="20.2" customHeight="1">
      <c r="B22" s="240"/>
      <c r="C22" s="234"/>
      <c r="D22" t="s" s="234">
        <v>106</v>
      </c>
      <c r="E22" s="241"/>
    </row>
    <row r="23" ht="20.2" customHeight="1">
      <c r="B23" s="242"/>
      <c r="C23" s="238"/>
      <c r="D23" t="s" s="238">
        <v>106</v>
      </c>
      <c r="E23" s="243"/>
    </row>
    <row r="24" ht="20.2" customHeight="1">
      <c r="B24" s="240"/>
      <c r="C24" s="234"/>
      <c r="D24" t="s" s="234">
        <v>106</v>
      </c>
      <c r="E24" s="241"/>
    </row>
    <row r="25" ht="20.2" customHeight="1">
      <c r="B25" s="242"/>
      <c r="C25" s="238"/>
      <c r="D25" t="s" s="238">
        <v>106</v>
      </c>
      <c r="E25" s="243"/>
    </row>
    <row r="26" ht="20.2" customHeight="1">
      <c r="B26" s="240"/>
      <c r="C26" s="234"/>
      <c r="D26" t="s" s="234">
        <v>106</v>
      </c>
      <c r="E26" s="241"/>
    </row>
    <row r="27" ht="20.2" customHeight="1">
      <c r="B27" s="242"/>
      <c r="C27" s="238"/>
      <c r="D27" t="s" s="238">
        <v>106</v>
      </c>
      <c r="E27" s="243"/>
    </row>
    <row r="28" ht="20.2" customHeight="1">
      <c r="B28" s="240"/>
      <c r="C28" s="234"/>
      <c r="D28" t="s" s="234">
        <v>106</v>
      </c>
      <c r="E28" s="241"/>
    </row>
    <row r="30" ht="27.65" customHeight="1">
      <c r="F30" t="s" s="2">
        <v>107</v>
      </c>
      <c r="G30" s="2"/>
      <c r="H30" s="2"/>
      <c r="I30" s="2"/>
    </row>
    <row r="31" ht="23.65" customHeight="1">
      <c r="F31" t="s" s="225">
        <v>81</v>
      </c>
      <c r="G31" t="s" s="226">
        <v>108</v>
      </c>
      <c r="H31" t="s" s="226">
        <v>2</v>
      </c>
      <c r="I31" t="s" s="245">
        <v>109</v>
      </c>
    </row>
    <row r="32" ht="20.45" customHeight="1">
      <c r="F32" t="s" s="246">
        <v>14</v>
      </c>
      <c r="G32" s="247">
        <v>0</v>
      </c>
      <c r="H32" s="248" cm="1">
        <f t="array" ref="H32">SUMIF(D3:D28,$F32,E3:E28)</f>
        <v>0</v>
      </c>
      <c r="I32" s="248" cm="1">
        <f t="array" ref="I32">G32-H32</f>
        <v>0</v>
      </c>
    </row>
    <row r="33" ht="20.2" customHeight="1">
      <c r="F33" t="s" s="249">
        <v>15</v>
      </c>
      <c r="G33" s="250">
        <v>8</v>
      </c>
      <c r="H33" s="241">
        <v>8</v>
      </c>
      <c r="I33" s="241" cm="1">
        <f t="array" ref="I33">G33-H33</f>
        <v>0</v>
      </c>
    </row>
    <row r="34" ht="20.2" customHeight="1">
      <c r="F34" t="s" s="249">
        <v>16</v>
      </c>
      <c r="G34" s="250">
        <v>0</v>
      </c>
      <c r="H34" s="243" cm="1">
        <f t="array" ref="H34">SUMIF(D3:D28,$F34,E3:E28)</f>
        <v>0</v>
      </c>
      <c r="I34" s="243" cm="1">
        <f t="array" ref="I34">G34-H34</f>
        <v>0</v>
      </c>
    </row>
    <row r="35" ht="20.2" customHeight="1">
      <c r="F35" t="s" s="249">
        <v>17</v>
      </c>
      <c r="G35" s="250">
        <v>0</v>
      </c>
      <c r="H35" s="241" cm="1">
        <f t="array" ref="H35">SUMIF(D3:D28,$F35,E3:E28)</f>
        <v>0</v>
      </c>
      <c r="I35" s="241" cm="1">
        <f t="array" ref="I35">G35-H35</f>
        <v>0</v>
      </c>
    </row>
    <row r="36" ht="20.2" customHeight="1">
      <c r="F36" t="s" s="249">
        <v>18</v>
      </c>
      <c r="G36" s="250" cm="1">
        <f t="array" ref="G36">H36</f>
        <v>21.6</v>
      </c>
      <c r="H36" s="243" cm="1">
        <f t="array" ref="H36">SUMIF(D3:D28,$F36,E3:E28)</f>
        <v>21.6</v>
      </c>
      <c r="I36" s="243" cm="1">
        <f t="array" ref="I36">G36-H36</f>
        <v>0</v>
      </c>
    </row>
    <row r="37" ht="20.2" customHeight="1">
      <c r="F37" t="s" s="249">
        <v>19</v>
      </c>
      <c r="G37" s="250" cm="1">
        <f t="array" ref="G37">H37</f>
        <v>822.85</v>
      </c>
      <c r="H37" s="241" cm="1">
        <f t="array" ref="H37">SUMIF(D3:D28,$F37,E3:E28)</f>
        <v>822.85</v>
      </c>
      <c r="I37" s="241" cm="1">
        <f t="array" ref="I37">G37-H37</f>
        <v>0</v>
      </c>
    </row>
    <row r="38" ht="20.2" customHeight="1">
      <c r="F38" t="s" s="249">
        <v>20</v>
      </c>
      <c r="G38" s="250" cm="1">
        <f t="array" ref="G38">H38</f>
        <v>8.6</v>
      </c>
      <c r="H38" s="243" cm="1">
        <f t="array" ref="H38">SUMIF(D3:D28,$F38,E3:E28)</f>
        <v>8.6</v>
      </c>
      <c r="I38" s="243" cm="1">
        <f t="array" ref="I38">G38-H38</f>
        <v>0</v>
      </c>
    </row>
    <row r="39" ht="20.2" customHeight="1">
      <c r="F39" t="s" s="249">
        <v>86</v>
      </c>
      <c r="G39" s="250" cm="1">
        <f t="array" ref="G39">H39</f>
        <v>23.98</v>
      </c>
      <c r="H39" s="241" cm="1">
        <f t="array" ref="H39">SUMIF(D3:D28,$F39,E3:E28)</f>
        <v>23.98</v>
      </c>
      <c r="I39" s="241" cm="1">
        <f t="array" ref="I39">G39-H39</f>
        <v>0</v>
      </c>
    </row>
    <row r="40" ht="20.45" customHeight="1">
      <c r="F40" t="s" s="251">
        <v>22</v>
      </c>
      <c r="G40" s="252" cm="1">
        <f t="array" ref="G40">H40</f>
        <v>27.44</v>
      </c>
      <c r="H40" s="253" cm="1">
        <f t="array" ref="H40">SUMIF(D3:D28,$F40,E3:E28)</f>
        <v>27.44</v>
      </c>
      <c r="I40" s="253" cm="1">
        <f t="array" ref="I40">G40-H40</f>
        <v>0</v>
      </c>
    </row>
    <row r="41" ht="20.45" customHeight="1">
      <c r="F41" t="s" s="254">
        <v>24</v>
      </c>
      <c r="G41" s="255" cm="1">
        <f t="array" ref="G41">SUM(G32:G40)</f>
        <v>912.47</v>
      </c>
      <c r="H41" s="255" cm="1">
        <f t="array" ref="H41">SUM(H32:H40)</f>
        <v>912.47</v>
      </c>
      <c r="I41" s="255" cm="1">
        <f t="array" ref="I41">G41-H41</f>
        <v>0</v>
      </c>
    </row>
    <row r="43" ht="27.65" customHeight="1">
      <c r="J43" t="s" s="2">
        <v>110</v>
      </c>
      <c r="K43" s="2"/>
      <c r="L43" s="2"/>
      <c r="M43" s="2"/>
    </row>
    <row r="44" ht="23.65" customHeight="1">
      <c r="J44" t="s" s="225">
        <v>81</v>
      </c>
      <c r="K44" t="s" s="226">
        <v>108</v>
      </c>
      <c r="L44" t="s" s="226">
        <v>2</v>
      </c>
      <c r="M44" t="s" s="245">
        <v>109</v>
      </c>
    </row>
    <row r="45" ht="20.45" customHeight="1">
      <c r="J45" t="s" s="246">
        <v>105</v>
      </c>
      <c r="K45" s="247">
        <v>597</v>
      </c>
      <c r="L45" s="248" cm="1">
        <f t="array" ref="L45">SUMIF(D3:D28,$J45,E3:E28)</f>
        <v>597</v>
      </c>
      <c r="M45" s="248" cm="1">
        <f t="array" ref="M45">L45-K45</f>
        <v>0</v>
      </c>
    </row>
    <row r="46" ht="20.45" customHeight="1">
      <c r="J46" t="s" s="251">
        <v>102</v>
      </c>
      <c r="K46" s="252">
        <v>0</v>
      </c>
      <c r="L46" s="257" cm="1">
        <f t="array" ref="L46">SUMIF(D3:D28,$J46,E3:E28)</f>
        <v>30</v>
      </c>
      <c r="M46" s="257" cm="1">
        <f t="array" ref="M46">L46+K46</f>
        <v>30</v>
      </c>
    </row>
    <row r="47" ht="20.45" customHeight="1">
      <c r="J47" t="s" s="254">
        <v>24</v>
      </c>
      <c r="K47" s="255" cm="1">
        <f t="array" ref="K47">SUM(K45:K46)</f>
        <v>597</v>
      </c>
      <c r="L47" s="255" cm="1">
        <f t="array" ref="L47">SUM(L45:L46)</f>
        <v>627</v>
      </c>
      <c r="M47" s="255" cm="1">
        <f t="array" ref="M47">L47-K$47</f>
        <v>30</v>
      </c>
    </row>
  </sheetData>
  <mergeCells count="2">
    <mergeCell ref="F30:I30"/>
    <mergeCell ref="J43:M43"/>
  </mergeCells>
  <dataValidations count="1">
    <dataValidation type="list" allowBlank="1" showInputMessage="1" showErrorMessage="1" sqref="D3:D15 D17:D28">
      <formula1>"Restaurant,Entertainment,Travel &amp; auto,Utilities &amp; subscriptions,Sport &amp; activities,Food,Home,Medical,Personal Items,Other, ,Salary,Other/donations"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B2:M48"/>
  <sheetViews>
    <sheetView workbookViewId="0" showGridLines="0" defaultGridColor="1"/>
  </sheetViews>
  <sheetFormatPr defaultColWidth="10.8333" defaultRowHeight="19.9" customHeight="1" outlineLevelRow="0" outlineLevelCol="0"/>
  <cols>
    <col min="1" max="1" width="92.5312" style="258" customWidth="1"/>
    <col min="2" max="2" width="10.8359" style="258" customWidth="1"/>
    <col min="3" max="3" width="31.2266" style="258" customWidth="1"/>
    <col min="4" max="5" width="20.9219" style="258" customWidth="1"/>
    <col min="6" max="6" width="20.5859" style="269" customWidth="1"/>
    <col min="7" max="9" width="21.1094" style="269" customWidth="1"/>
    <col min="10" max="10" width="20.5859" style="270" customWidth="1"/>
    <col min="11" max="13" width="21.1094" style="270" customWidth="1"/>
    <col min="14" max="16384" width="10.8516" style="270" customWidth="1"/>
  </cols>
  <sheetData>
    <row r="1" ht="86" customHeight="1"/>
    <row r="2" ht="20.45" customHeight="1">
      <c r="B2" t="s" s="225">
        <v>79</v>
      </c>
      <c r="C2" t="s" s="226">
        <v>80</v>
      </c>
      <c r="D2" t="s" s="226">
        <v>81</v>
      </c>
      <c r="E2" t="s" s="227">
        <v>82</v>
      </c>
    </row>
    <row r="3" ht="20.45" customHeight="1">
      <c r="B3" s="259">
        <v>46054</v>
      </c>
      <c r="C3" t="s" s="229">
        <v>111</v>
      </c>
      <c r="D3" t="s" s="230">
        <v>14</v>
      </c>
      <c r="E3" s="260">
        <v>4.3</v>
      </c>
    </row>
    <row r="4" ht="20.2" customHeight="1">
      <c r="B4" s="261">
        <v>46055</v>
      </c>
      <c r="C4" t="s" s="233">
        <v>112</v>
      </c>
      <c r="D4" t="s" s="234">
        <v>22</v>
      </c>
      <c r="E4" s="262">
        <v>20</v>
      </c>
    </row>
    <row r="5" ht="20.2" customHeight="1">
      <c r="B5" s="263">
        <v>46059</v>
      </c>
      <c r="C5" t="s" s="237">
        <v>113</v>
      </c>
      <c r="D5" t="s" s="238">
        <v>114</v>
      </c>
      <c r="E5" s="264">
        <v>23</v>
      </c>
    </row>
    <row r="6" ht="20.2" customHeight="1">
      <c r="B6" s="261">
        <v>46056</v>
      </c>
      <c r="C6" t="s" s="233">
        <v>115</v>
      </c>
      <c r="D6" t="s" s="234">
        <v>105</v>
      </c>
      <c r="E6" s="262">
        <v>300</v>
      </c>
    </row>
    <row r="7" ht="20.2" customHeight="1">
      <c r="B7" s="263">
        <v>46056</v>
      </c>
      <c r="C7" t="s" s="237">
        <v>116</v>
      </c>
      <c r="D7" t="s" s="238">
        <v>17</v>
      </c>
      <c r="E7" s="264">
        <v>19.99</v>
      </c>
    </row>
    <row r="8" ht="20.2" customHeight="1">
      <c r="B8" s="261">
        <v>46059</v>
      </c>
      <c r="C8" t="s" s="233">
        <v>117</v>
      </c>
      <c r="D8" t="s" s="234">
        <v>17</v>
      </c>
      <c r="E8" s="262">
        <v>16.14</v>
      </c>
    </row>
    <row r="9" ht="20.2" customHeight="1">
      <c r="B9" s="263">
        <v>46059</v>
      </c>
      <c r="C9" t="s" s="237">
        <v>118</v>
      </c>
      <c r="D9" t="s" s="238">
        <v>20</v>
      </c>
      <c r="E9" s="264">
        <v>0.51</v>
      </c>
    </row>
    <row r="10" ht="20.2" customHeight="1">
      <c r="B10" s="261">
        <v>46065</v>
      </c>
      <c r="C10" t="s" s="233">
        <v>118</v>
      </c>
      <c r="D10" t="s" s="234">
        <v>20</v>
      </c>
      <c r="E10" s="262">
        <v>1.91</v>
      </c>
    </row>
    <row r="11" ht="20.2" customHeight="1">
      <c r="B11" s="263">
        <v>46066</v>
      </c>
      <c r="C11" t="s" s="237">
        <v>118</v>
      </c>
      <c r="D11" t="s" s="238">
        <v>20</v>
      </c>
      <c r="E11" s="264">
        <v>1.4</v>
      </c>
    </row>
    <row r="12" ht="20.2" customHeight="1">
      <c r="B12" s="261">
        <v>46066</v>
      </c>
      <c r="C12" t="s" s="233">
        <v>118</v>
      </c>
      <c r="D12" t="s" s="234">
        <v>20</v>
      </c>
      <c r="E12" s="262">
        <v>0.77</v>
      </c>
    </row>
    <row r="13" ht="20.2" customHeight="1">
      <c r="B13" s="263">
        <v>46063</v>
      </c>
      <c r="C13" t="s" s="237">
        <v>119</v>
      </c>
      <c r="D13" t="s" s="238">
        <v>22</v>
      </c>
      <c r="E13" s="264">
        <v>5.5</v>
      </c>
    </row>
    <row r="14" ht="20.2" customHeight="1">
      <c r="B14" s="261">
        <v>46067</v>
      </c>
      <c r="C14" t="s" s="233">
        <v>120</v>
      </c>
      <c r="D14" t="s" s="234">
        <v>16</v>
      </c>
      <c r="E14" s="262">
        <v>1.89</v>
      </c>
    </row>
    <row r="15" ht="20.2" customHeight="1">
      <c r="B15" s="263">
        <v>46068</v>
      </c>
      <c r="C15" t="s" s="237">
        <v>121</v>
      </c>
      <c r="D15" t="s" s="238">
        <v>86</v>
      </c>
      <c r="E15" s="264">
        <v>5</v>
      </c>
    </row>
    <row r="16" ht="20.2" customHeight="1">
      <c r="B16" s="261">
        <v>46069</v>
      </c>
      <c r="C16" t="s" s="234">
        <v>122</v>
      </c>
      <c r="D16" t="s" s="234">
        <v>16</v>
      </c>
      <c r="E16" s="241">
        <v>1</v>
      </c>
    </row>
    <row r="17" ht="20.2" customHeight="1">
      <c r="B17" s="263">
        <v>46073</v>
      </c>
      <c r="C17" t="s" s="238">
        <v>123</v>
      </c>
      <c r="D17" t="s" s="238">
        <v>22</v>
      </c>
      <c r="E17" s="265">
        <v>4</v>
      </c>
    </row>
    <row r="18" ht="20.2" customHeight="1">
      <c r="B18" s="261">
        <v>46069</v>
      </c>
      <c r="C18" t="s" s="234">
        <v>124</v>
      </c>
      <c r="D18" t="s" s="234">
        <v>20</v>
      </c>
      <c r="E18" s="266">
        <v>2.35</v>
      </c>
    </row>
    <row r="19" ht="20.2" customHeight="1">
      <c r="B19" s="263">
        <v>46069</v>
      </c>
      <c r="C19" t="s" s="238">
        <v>125</v>
      </c>
      <c r="D19" t="s" s="238">
        <v>102</v>
      </c>
      <c r="E19" s="265">
        <v>9</v>
      </c>
    </row>
    <row r="20" ht="20.2" customHeight="1">
      <c r="B20" s="261">
        <v>46077</v>
      </c>
      <c r="C20" t="s" s="234">
        <v>126</v>
      </c>
      <c r="D20" t="s" s="234">
        <v>102</v>
      </c>
      <c r="E20" s="266">
        <v>13.9</v>
      </c>
    </row>
    <row r="21" ht="20.2" customHeight="1">
      <c r="B21" s="263">
        <v>46081</v>
      </c>
      <c r="C21" s="238"/>
      <c r="D21" t="s" s="238">
        <v>22</v>
      </c>
      <c r="E21" s="265">
        <v>2.99</v>
      </c>
    </row>
    <row r="22" ht="20.2" customHeight="1">
      <c r="B22" s="261">
        <v>46069</v>
      </c>
      <c r="C22" t="s" s="234">
        <v>124</v>
      </c>
      <c r="D22" t="s" s="234">
        <v>20</v>
      </c>
      <c r="E22" s="266">
        <v>2.7</v>
      </c>
    </row>
    <row r="23" ht="20.2" customHeight="1">
      <c r="B23" s="263">
        <v>46076</v>
      </c>
      <c r="C23" t="s" s="238">
        <v>127</v>
      </c>
      <c r="D23" t="s" s="238">
        <v>20</v>
      </c>
      <c r="E23" s="265">
        <v>0.72</v>
      </c>
    </row>
    <row r="24" ht="20.2" customHeight="1">
      <c r="B24" s="261">
        <v>46080</v>
      </c>
      <c r="C24" t="s" s="233">
        <v>113</v>
      </c>
      <c r="D24" t="s" s="234">
        <v>114</v>
      </c>
      <c r="E24" s="262">
        <v>23</v>
      </c>
    </row>
    <row r="25" ht="20.2" customHeight="1">
      <c r="B25" s="263">
        <v>46081</v>
      </c>
      <c r="C25" t="s" s="238">
        <v>128</v>
      </c>
      <c r="D25" t="s" s="238">
        <v>16</v>
      </c>
      <c r="E25" s="265" cm="1">
        <f t="array" ref="E25">0.57*3</f>
        <v>1.71</v>
      </c>
    </row>
    <row r="26" ht="20.2" customHeight="1">
      <c r="B26" s="240"/>
      <c r="C26" s="234"/>
      <c r="D26" t="s" s="234">
        <v>102</v>
      </c>
      <c r="E26" s="266">
        <v>8000</v>
      </c>
    </row>
    <row r="27" ht="20.2" customHeight="1">
      <c r="B27" s="242"/>
      <c r="C27" s="238"/>
      <c r="D27" t="s" s="238">
        <v>106</v>
      </c>
      <c r="E27" s="267"/>
    </row>
    <row r="28" ht="20.2" customHeight="1">
      <c r="B28" s="240"/>
      <c r="C28" s="234"/>
      <c r="D28" t="s" s="234">
        <v>106</v>
      </c>
      <c r="E28" s="268"/>
    </row>
    <row r="29" ht="20.2" customHeight="1">
      <c r="B29" s="242"/>
      <c r="C29" s="267"/>
      <c r="D29" t="s" s="238">
        <v>106</v>
      </c>
      <c r="E29" s="267"/>
    </row>
    <row r="31" ht="27.65" customHeight="1">
      <c r="F31" t="s" s="2">
        <v>107</v>
      </c>
      <c r="G31" s="2"/>
      <c r="H31" s="2"/>
      <c r="I31" s="2"/>
    </row>
    <row r="32" ht="23.65" customHeight="1">
      <c r="F32" t="s" s="225">
        <v>81</v>
      </c>
      <c r="G32" t="s" s="226">
        <v>108</v>
      </c>
      <c r="H32" t="s" s="226">
        <v>2</v>
      </c>
      <c r="I32" t="s" s="245">
        <v>109</v>
      </c>
    </row>
    <row r="33" ht="20.45" customHeight="1">
      <c r="F33" t="s" s="246">
        <v>14</v>
      </c>
      <c r="G33" s="247" cm="1">
        <f t="array" ref="G33">'Budgeting'!C3</f>
        <v>4.3</v>
      </c>
      <c r="H33" s="248" cm="1">
        <f t="array" ref="H33">SUMIF(D3:D29,$F33,E3:E29)</f>
        <v>4.3</v>
      </c>
      <c r="I33" s="248" cm="1">
        <f t="array" ref="I33">G33-H33</f>
        <v>0</v>
      </c>
    </row>
    <row r="34" ht="20.2" customHeight="1">
      <c r="F34" t="s" s="249">
        <v>15</v>
      </c>
      <c r="G34" s="250" cm="1">
        <f t="array" ref="G34">'Budgeting'!C4</f>
        <v>46</v>
      </c>
      <c r="H34" s="241" cm="1">
        <f t="array" ref="H34">SUMIF(D3:D29,$F34,E3:E29)</f>
        <v>46</v>
      </c>
      <c r="I34" s="241" cm="1">
        <f t="array" ref="I34">G34-H34</f>
        <v>0</v>
      </c>
    </row>
    <row r="35" ht="20.2" customHeight="1">
      <c r="F35" t="s" s="249">
        <v>16</v>
      </c>
      <c r="G35" s="250" cm="1">
        <f t="array" ref="G35">'Budgeting'!C5</f>
        <v>4.6</v>
      </c>
      <c r="H35" s="243" cm="1">
        <f t="array" ref="H35">SUMIF(D3:D29,$F35,E3:E29)</f>
        <v>4.6</v>
      </c>
      <c r="I35" s="243" cm="1">
        <f t="array" ref="I35">G35-H35</f>
        <v>0</v>
      </c>
    </row>
    <row r="36" ht="20.2" customHeight="1">
      <c r="F36" t="s" s="249">
        <v>17</v>
      </c>
      <c r="G36" s="250" cm="1">
        <f t="array" ref="G36">'Budgeting'!C6</f>
        <v>36.13</v>
      </c>
      <c r="H36" s="241" cm="1">
        <f t="array" ref="H36">SUMIF(D3:D29,$F36,E3:E29)</f>
        <v>36.13</v>
      </c>
      <c r="I36" s="241" cm="1">
        <f t="array" ref="I36">G36-H36</f>
        <v>0</v>
      </c>
    </row>
    <row r="37" ht="20.2" customHeight="1">
      <c r="F37" t="s" s="249">
        <v>18</v>
      </c>
      <c r="G37" s="250" cm="1">
        <f t="array" ref="G37">'Budgeting'!C7</f>
        <v>0</v>
      </c>
      <c r="H37" s="243" cm="1">
        <f t="array" ref="H37">SUMIF(D3:D29,$F37,E3:E29)</f>
        <v>0</v>
      </c>
      <c r="I37" s="243" cm="1">
        <f t="array" ref="I37">G37-H37</f>
        <v>0</v>
      </c>
    </row>
    <row r="38" ht="20.2" customHeight="1">
      <c r="F38" t="s" s="249">
        <v>19</v>
      </c>
      <c r="G38" s="250" cm="1">
        <f t="array" ref="G38">'Budgeting'!C8</f>
        <v>0</v>
      </c>
      <c r="H38" s="241" cm="1">
        <f t="array" ref="H38">SUMIF(D3:D29,$F38,E3:E29)</f>
        <v>0</v>
      </c>
      <c r="I38" s="241" cm="1">
        <f t="array" ref="I38">G38-H38</f>
        <v>0</v>
      </c>
    </row>
    <row r="39" ht="20.2" customHeight="1">
      <c r="F39" t="s" s="249">
        <v>20</v>
      </c>
      <c r="G39" s="250" cm="1">
        <f t="array" ref="G39">'Budgeting'!C9</f>
        <v>10.36</v>
      </c>
      <c r="H39" s="243" cm="1">
        <f t="array" ref="H39">SUMIF(D3:D29,$F39,E3:E29)</f>
        <v>10.36</v>
      </c>
      <c r="I39" s="243" cm="1">
        <f t="array" ref="I39">G39-H39</f>
        <v>0</v>
      </c>
    </row>
    <row r="40" ht="20.2" customHeight="1">
      <c r="F40" t="s" s="249">
        <v>86</v>
      </c>
      <c r="G40" s="250" cm="1">
        <f t="array" ref="G40">'Budgeting'!C10</f>
        <v>5</v>
      </c>
      <c r="H40" s="241" cm="1">
        <f t="array" ref="H40">SUMIF(D3:D29,$F40,E3:E29)</f>
        <v>5</v>
      </c>
      <c r="I40" s="241" cm="1">
        <f t="array" ref="I40">G40-H40</f>
        <v>0</v>
      </c>
    </row>
    <row r="41" ht="20.45" customHeight="1">
      <c r="F41" t="s" s="251">
        <v>22</v>
      </c>
      <c r="G41" s="252" cm="1">
        <f t="array" ref="G41">'Budgeting'!C11</f>
        <v>32.49</v>
      </c>
      <c r="H41" s="253" cm="1">
        <f t="array" ref="H41">SUMIF(D3:D29,$F41,E3:E29)</f>
        <v>32.49</v>
      </c>
      <c r="I41" s="253" cm="1">
        <f t="array" ref="I41">G41-H41</f>
        <v>0</v>
      </c>
    </row>
    <row r="42" ht="20.45" customHeight="1">
      <c r="F42" t="s" s="254">
        <v>24</v>
      </c>
      <c r="G42" s="255" cm="1">
        <f t="array" ref="G42">SUM(G33:G41)</f>
        <v>138.88</v>
      </c>
      <c r="H42" s="255" cm="1">
        <f t="array" ref="H42">SUM(H33:H41)</f>
        <v>138.88</v>
      </c>
      <c r="I42" s="255" cm="1">
        <f t="array" ref="I42">G42-H42</f>
        <v>0</v>
      </c>
    </row>
    <row r="44" ht="27.65" customHeight="1">
      <c r="J44" t="s" s="2">
        <v>110</v>
      </c>
      <c r="K44" s="2"/>
      <c r="L44" s="2"/>
      <c r="M44" s="2"/>
    </row>
    <row r="45" ht="23.65" customHeight="1">
      <c r="J45" t="s" s="225">
        <v>81</v>
      </c>
      <c r="K45" t="s" s="226">
        <v>108</v>
      </c>
      <c r="L45" t="s" s="226">
        <v>2</v>
      </c>
      <c r="M45" t="s" s="245">
        <v>109</v>
      </c>
    </row>
    <row r="46" ht="20.45" customHeight="1">
      <c r="J46" t="s" s="246">
        <v>105</v>
      </c>
      <c r="K46" s="247">
        <v>300</v>
      </c>
      <c r="L46" s="248" cm="1">
        <f t="array" ref="L46">SUMIF(D3:D29,$J46,E3:E29)</f>
        <v>300</v>
      </c>
      <c r="M46" s="248" cm="1">
        <f t="array" ref="M46">L46-K46</f>
        <v>0</v>
      </c>
    </row>
    <row r="47" ht="20.45" customHeight="1">
      <c r="J47" t="s" s="251">
        <v>102</v>
      </c>
      <c r="K47" s="252">
        <v>0</v>
      </c>
      <c r="L47" s="257" cm="1">
        <f t="array" ref="L47">SUMIF(D3:D29,$J47,E3:E29)</f>
        <v>8022.9</v>
      </c>
      <c r="M47" s="257" cm="1">
        <f t="array" ref="M47">L47+K47</f>
        <v>8022.9</v>
      </c>
    </row>
    <row r="48" ht="20.45" customHeight="1">
      <c r="J48" t="s" s="254">
        <v>24</v>
      </c>
      <c r="K48" s="255" cm="1">
        <f t="array" ref="K48">SUM(K46:K47)</f>
        <v>300</v>
      </c>
      <c r="L48" s="255" cm="1">
        <f t="array" ref="L48">SUM(L46:L47)</f>
        <v>8322.9</v>
      </c>
      <c r="M48" s="255" cm="1">
        <f t="array" ref="M48">L48-K$48</f>
        <v>8022.9</v>
      </c>
    </row>
  </sheetData>
  <mergeCells count="2">
    <mergeCell ref="F31:I31"/>
    <mergeCell ref="J44:M44"/>
  </mergeCells>
  <dataValidations count="1">
    <dataValidation type="list" allowBlank="1" showInputMessage="1" showErrorMessage="1" sqref="D3:D29">
      <formula1>"Restaurant,Entertainment,Travel &amp; auto,Utilities &amp; subscriptions,Sport &amp; activities,Food,Home,Medical,Personal Items,Other, ,Salary,Other/donations"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B2:M60"/>
  <sheetViews>
    <sheetView workbookViewId="0" showGridLines="0" defaultGridColor="1"/>
  </sheetViews>
  <sheetFormatPr defaultColWidth="10.8333" defaultRowHeight="19.9" customHeight="1" outlineLevelRow="0" outlineLevelCol="0"/>
  <cols>
    <col min="1" max="1" width="92.5312" style="271" customWidth="1"/>
    <col min="2" max="2" width="10.8359" style="271" customWidth="1"/>
    <col min="3" max="3" width="31.2266" style="271" customWidth="1"/>
    <col min="4" max="5" width="20.9219" style="271" customWidth="1"/>
    <col min="6" max="6" width="20.5859" style="279" customWidth="1"/>
    <col min="7" max="9" width="21.1094" style="279" customWidth="1"/>
    <col min="10" max="10" width="20.5859" style="280" customWidth="1"/>
    <col min="11" max="13" width="21.1094" style="280" customWidth="1"/>
    <col min="14" max="16384" width="10.8516" style="280" customWidth="1"/>
  </cols>
  <sheetData>
    <row r="1" ht="86" customHeight="1"/>
    <row r="2" ht="20.45" customHeight="1">
      <c r="B2" t="s" s="225">
        <v>79</v>
      </c>
      <c r="C2" t="s" s="226">
        <v>80</v>
      </c>
      <c r="D2" t="s" s="226">
        <v>81</v>
      </c>
      <c r="E2" t="s" s="227">
        <v>82</v>
      </c>
    </row>
    <row r="3" ht="20.45" customHeight="1">
      <c r="B3" s="272">
        <v>46085</v>
      </c>
      <c r="C3" t="s" s="229">
        <v>129</v>
      </c>
      <c r="D3" t="s" s="230">
        <v>19</v>
      </c>
      <c r="E3" s="273">
        <v>30.83</v>
      </c>
    </row>
    <row r="4" ht="20.2" customHeight="1">
      <c r="B4" s="274">
        <v>46085</v>
      </c>
      <c r="C4" t="s" s="233">
        <v>130</v>
      </c>
      <c r="D4" t="s" s="234">
        <v>18</v>
      </c>
      <c r="E4" s="275">
        <v>568.8200000000001</v>
      </c>
    </row>
    <row r="5" ht="20.2" customHeight="1">
      <c r="B5" s="263">
        <v>46086</v>
      </c>
      <c r="C5" t="s" s="238">
        <v>131</v>
      </c>
      <c r="D5" t="s" s="238">
        <v>22</v>
      </c>
      <c r="E5" s="265">
        <v>25</v>
      </c>
    </row>
    <row r="6" ht="20.2" customHeight="1">
      <c r="B6" s="261">
        <v>46087</v>
      </c>
      <c r="C6" t="s" s="233">
        <v>132</v>
      </c>
      <c r="D6" t="s" s="234">
        <v>105</v>
      </c>
      <c r="E6" s="276">
        <v>1568</v>
      </c>
    </row>
    <row r="7" ht="20.2" customHeight="1">
      <c r="B7" s="263">
        <v>46088</v>
      </c>
      <c r="C7" t="s" s="237">
        <v>133</v>
      </c>
      <c r="D7" t="s" s="238">
        <v>14</v>
      </c>
      <c r="E7" s="239">
        <v>9.65</v>
      </c>
    </row>
    <row r="8" ht="20.2" customHeight="1">
      <c r="B8" s="261">
        <v>46088</v>
      </c>
      <c r="C8" t="s" s="233">
        <v>134</v>
      </c>
      <c r="D8" t="s" s="234">
        <v>86</v>
      </c>
      <c r="E8" s="275">
        <v>10.92</v>
      </c>
    </row>
    <row r="9" ht="20.2" customHeight="1">
      <c r="B9" s="263">
        <v>46089</v>
      </c>
      <c r="C9" t="s" s="237">
        <v>135</v>
      </c>
      <c r="D9" t="s" s="238">
        <v>102</v>
      </c>
      <c r="E9" s="239">
        <v>5</v>
      </c>
    </row>
    <row r="10" ht="20.2" customHeight="1">
      <c r="B10" s="261">
        <v>46091</v>
      </c>
      <c r="C10" t="s" s="233">
        <v>113</v>
      </c>
      <c r="D10" t="s" s="234">
        <v>114</v>
      </c>
      <c r="E10" s="262">
        <v>23</v>
      </c>
    </row>
    <row r="11" ht="20.2" customHeight="1">
      <c r="B11" s="263">
        <v>46092</v>
      </c>
      <c r="C11" t="s" s="237">
        <v>136</v>
      </c>
      <c r="D11" t="s" s="238">
        <v>16</v>
      </c>
      <c r="E11" s="239">
        <v>2.48</v>
      </c>
    </row>
    <row r="12" ht="20.2" customHeight="1">
      <c r="B12" s="261">
        <v>46093</v>
      </c>
      <c r="C12" t="s" s="233">
        <v>137</v>
      </c>
      <c r="D12" t="s" s="234">
        <v>22</v>
      </c>
      <c r="E12" s="275">
        <v>304.08</v>
      </c>
    </row>
    <row r="13" ht="20.2" customHeight="1">
      <c r="B13" s="263">
        <v>46093</v>
      </c>
      <c r="C13" t="s" s="238">
        <v>93</v>
      </c>
      <c r="D13" t="s" s="238">
        <v>20</v>
      </c>
      <c r="E13" s="243">
        <v>0.6</v>
      </c>
    </row>
    <row r="14" ht="20.2" customHeight="1">
      <c r="B14" s="261">
        <v>46094</v>
      </c>
      <c r="C14" t="s" s="234">
        <v>138</v>
      </c>
      <c r="D14" t="s" s="234">
        <v>22</v>
      </c>
      <c r="E14" s="241">
        <v>175</v>
      </c>
    </row>
    <row r="15" ht="20.2" customHeight="1">
      <c r="B15" s="263">
        <v>46096</v>
      </c>
      <c r="C15" t="s" s="237">
        <v>139</v>
      </c>
      <c r="D15" t="s" s="238">
        <v>14</v>
      </c>
      <c r="E15" s="239">
        <v>5.1</v>
      </c>
    </row>
    <row r="16" ht="20.2" customHeight="1">
      <c r="B16" s="261">
        <v>46096</v>
      </c>
      <c r="C16" t="s" s="233">
        <v>140</v>
      </c>
      <c r="D16" t="s" s="234">
        <v>22</v>
      </c>
      <c r="E16" s="235">
        <v>5.5</v>
      </c>
    </row>
    <row r="17" ht="20.2" customHeight="1">
      <c r="B17" s="263">
        <v>46097</v>
      </c>
      <c r="C17" t="s" s="237">
        <v>141</v>
      </c>
      <c r="D17" t="s" s="238">
        <v>86</v>
      </c>
      <c r="E17" s="239">
        <v>5</v>
      </c>
    </row>
    <row r="18" ht="20.2" customHeight="1">
      <c r="B18" s="261">
        <v>46097</v>
      </c>
      <c r="C18" t="s" s="234">
        <v>142</v>
      </c>
      <c r="D18" t="s" s="234">
        <v>22</v>
      </c>
      <c r="E18" s="241">
        <v>40</v>
      </c>
    </row>
    <row r="19" ht="20.2" customHeight="1">
      <c r="B19" s="263">
        <v>46097</v>
      </c>
      <c r="C19" t="s" s="238">
        <v>143</v>
      </c>
      <c r="D19" t="s" s="238">
        <v>19</v>
      </c>
      <c r="E19" s="243">
        <v>42.69</v>
      </c>
    </row>
    <row r="20" ht="20.2" customHeight="1">
      <c r="B20" s="277">
        <v>46822</v>
      </c>
      <c r="C20" t="s" s="233">
        <v>144</v>
      </c>
      <c r="D20" t="s" s="234">
        <v>19</v>
      </c>
      <c r="E20" s="275">
        <v>23.15</v>
      </c>
    </row>
    <row r="21" ht="20.2" customHeight="1">
      <c r="B21" t="s" s="236">
        <v>145</v>
      </c>
      <c r="C21" t="s" s="237">
        <v>146</v>
      </c>
      <c r="D21" t="s" s="238">
        <v>14</v>
      </c>
      <c r="E21" s="278">
        <v>10.5</v>
      </c>
    </row>
    <row r="22" ht="20.2" customHeight="1">
      <c r="B22" t="s" s="232">
        <v>145</v>
      </c>
      <c r="C22" t="s" s="233">
        <v>147</v>
      </c>
      <c r="D22" t="s" s="234">
        <v>106</v>
      </c>
      <c r="E22" s="275">
        <v>36.08</v>
      </c>
    </row>
    <row r="23" ht="20.2" customHeight="1">
      <c r="B23" t="s" s="236">
        <v>148</v>
      </c>
      <c r="C23" t="s" s="237">
        <v>149</v>
      </c>
      <c r="D23" t="s" s="238">
        <v>20</v>
      </c>
      <c r="E23" s="278">
        <v>6.6</v>
      </c>
    </row>
    <row r="24" ht="20.2" customHeight="1">
      <c r="B24" t="s" s="232">
        <v>148</v>
      </c>
      <c r="C24" t="s" s="233">
        <v>150</v>
      </c>
      <c r="D24" t="s" s="234">
        <v>19</v>
      </c>
      <c r="E24" s="275">
        <v>122.12</v>
      </c>
    </row>
    <row r="25" ht="20.2" customHeight="1">
      <c r="B25" t="s" s="236">
        <v>148</v>
      </c>
      <c r="C25" t="s" s="237">
        <v>151</v>
      </c>
      <c r="D25" t="s" s="238">
        <v>14</v>
      </c>
      <c r="E25" s="278">
        <v>7.3</v>
      </c>
    </row>
    <row r="26" ht="20.2" customHeight="1">
      <c r="B26" t="s" s="232">
        <v>148</v>
      </c>
      <c r="C26" t="s" s="233">
        <v>152</v>
      </c>
      <c r="D26" t="s" s="234">
        <v>14</v>
      </c>
      <c r="E26" s="275">
        <v>4.6</v>
      </c>
    </row>
    <row r="27" ht="20.2" customHeight="1">
      <c r="B27" t="s" s="236">
        <v>153</v>
      </c>
      <c r="C27" t="s" s="237">
        <v>154</v>
      </c>
      <c r="D27" t="s" s="238">
        <v>100</v>
      </c>
      <c r="E27" s="278">
        <v>69.23</v>
      </c>
    </row>
    <row r="28" ht="20.2" customHeight="1">
      <c r="B28" t="s" s="232">
        <v>155</v>
      </c>
      <c r="C28" t="s" s="233">
        <v>156</v>
      </c>
      <c r="D28" t="s" s="234">
        <v>20</v>
      </c>
      <c r="E28" s="275">
        <v>1.3</v>
      </c>
    </row>
    <row r="29" ht="20.2" customHeight="1">
      <c r="B29" t="s" s="236">
        <v>155</v>
      </c>
      <c r="C29" t="s" s="237">
        <v>27</v>
      </c>
      <c r="D29" t="s" s="238">
        <v>86</v>
      </c>
      <c r="E29" s="278">
        <v>20.99</v>
      </c>
    </row>
    <row r="30" ht="20.2" customHeight="1">
      <c r="B30" t="s" s="232">
        <v>157</v>
      </c>
      <c r="C30" t="s" s="233">
        <v>158</v>
      </c>
      <c r="D30" t="s" s="234">
        <v>20</v>
      </c>
      <c r="E30" s="275">
        <v>5</v>
      </c>
    </row>
    <row r="31" ht="20.2" customHeight="1">
      <c r="B31" t="s" s="236">
        <v>159</v>
      </c>
      <c r="C31" t="s" s="237">
        <v>160</v>
      </c>
      <c r="D31" t="s" s="238">
        <v>20</v>
      </c>
      <c r="E31" s="278">
        <v>0.85</v>
      </c>
    </row>
    <row r="32" ht="20.2" customHeight="1">
      <c r="B32" t="s" s="232">
        <v>159</v>
      </c>
      <c r="C32" t="s" s="233">
        <v>161</v>
      </c>
      <c r="D32" t="s" s="234">
        <v>16</v>
      </c>
      <c r="E32" s="275">
        <v>88.97</v>
      </c>
    </row>
    <row r="33" ht="20.2" customHeight="1">
      <c r="B33" t="s" s="236">
        <v>159</v>
      </c>
      <c r="C33" t="s" s="237">
        <v>162</v>
      </c>
      <c r="D33" t="s" s="238">
        <v>19</v>
      </c>
      <c r="E33" s="278">
        <v>20</v>
      </c>
    </row>
    <row r="34" ht="20.2" customHeight="1">
      <c r="B34" t="s" s="232">
        <v>163</v>
      </c>
      <c r="C34" t="s" s="233">
        <v>164</v>
      </c>
      <c r="D34" t="s" s="234">
        <v>19</v>
      </c>
      <c r="E34" s="275">
        <v>32.6</v>
      </c>
    </row>
    <row r="35" ht="20.2" customHeight="1">
      <c r="B35" t="s" s="236">
        <v>165</v>
      </c>
      <c r="C35" t="s" s="237">
        <v>166</v>
      </c>
      <c r="D35" t="s" s="238">
        <v>19</v>
      </c>
      <c r="E35" s="278">
        <v>14.8</v>
      </c>
    </row>
    <row r="36" ht="20.2" customHeight="1">
      <c r="B36" t="s" s="232">
        <v>165</v>
      </c>
      <c r="C36" t="s" s="233">
        <v>167</v>
      </c>
      <c r="D36" t="s" s="234">
        <v>102</v>
      </c>
      <c r="E36" s="276">
        <v>3000</v>
      </c>
    </row>
    <row r="37" ht="20.2" customHeight="1">
      <c r="B37" t="s" s="236">
        <v>168</v>
      </c>
      <c r="C37" t="s" s="237">
        <v>169</v>
      </c>
      <c r="D37" t="s" s="238">
        <v>22</v>
      </c>
      <c r="E37" s="278">
        <v>8.4</v>
      </c>
    </row>
    <row r="38" ht="20.2" customHeight="1">
      <c r="B38" t="s" s="232">
        <v>168</v>
      </c>
      <c r="C38" t="s" s="233">
        <v>170</v>
      </c>
      <c r="D38" t="s" s="234">
        <v>14</v>
      </c>
      <c r="E38" s="275">
        <v>10.7</v>
      </c>
    </row>
    <row r="39" ht="20.2" customHeight="1">
      <c r="B39" t="s" s="236">
        <v>168</v>
      </c>
      <c r="C39" t="s" s="237">
        <v>147</v>
      </c>
      <c r="D39" t="s" s="238">
        <v>19</v>
      </c>
      <c r="E39" s="278">
        <v>9.26</v>
      </c>
    </row>
    <row r="40" ht="20.2" customHeight="1">
      <c r="B40" t="s" s="232">
        <v>168</v>
      </c>
      <c r="C40" t="s" s="233">
        <v>171</v>
      </c>
      <c r="D40" t="s" s="234">
        <v>86</v>
      </c>
      <c r="E40" s="275">
        <v>2.99</v>
      </c>
    </row>
    <row r="41" ht="20.2" customHeight="1">
      <c r="B41" t="s" s="236">
        <v>172</v>
      </c>
      <c r="C41" t="s" s="237">
        <v>173</v>
      </c>
      <c r="D41" t="s" s="238">
        <v>14</v>
      </c>
      <c r="E41" s="278">
        <v>51.79</v>
      </c>
    </row>
    <row r="43" ht="27.65" customHeight="1">
      <c r="F43" t="s" s="2">
        <v>107</v>
      </c>
      <c r="G43" s="2"/>
      <c r="H43" s="2"/>
      <c r="I43" s="2"/>
    </row>
    <row r="44" ht="23.65" customHeight="1">
      <c r="F44" t="s" s="225">
        <v>81</v>
      </c>
      <c r="G44" t="s" s="226">
        <v>108</v>
      </c>
      <c r="H44" t="s" s="226">
        <v>2</v>
      </c>
      <c r="I44" t="s" s="245">
        <v>109</v>
      </c>
    </row>
    <row r="45" ht="20.45" customHeight="1">
      <c r="F45" t="s" s="246">
        <v>14</v>
      </c>
      <c r="G45" s="247" cm="1">
        <f t="array" ref="G45">'Budgeting'!D3</f>
        <v>99.64</v>
      </c>
      <c r="H45" s="248" cm="1">
        <f t="array" ref="H45">SUMIF(D3:D41,$F45,E3:E41)</f>
        <v>99.64</v>
      </c>
      <c r="I45" s="248" cm="1">
        <f t="array" ref="I45">G45-H45</f>
        <v>0</v>
      </c>
    </row>
    <row r="46" ht="20.2" customHeight="1">
      <c r="F46" t="s" s="249">
        <v>15</v>
      </c>
      <c r="G46" s="250" cm="1">
        <f t="array" ref="G46">'Budgeting'!D4</f>
        <v>23</v>
      </c>
      <c r="H46" s="241" cm="1">
        <f t="array" ref="H46">SUMIF(D3:D41,$F46,E3:E41)</f>
        <v>23</v>
      </c>
      <c r="I46" s="241" cm="1">
        <f t="array" ref="I46">G46-H46</f>
        <v>0</v>
      </c>
    </row>
    <row r="47" ht="20.2" customHeight="1">
      <c r="F47" t="s" s="249">
        <v>16</v>
      </c>
      <c r="G47" s="250" cm="1">
        <f t="array" ref="G47">'Budgeting'!D5</f>
        <v>91.45</v>
      </c>
      <c r="H47" s="243" cm="1">
        <f t="array" ref="H47">SUMIF(D3:D41,$F47,E3:E41)</f>
        <v>91.45</v>
      </c>
      <c r="I47" s="243" cm="1">
        <f t="array" ref="I47">G47-H47</f>
        <v>0</v>
      </c>
    </row>
    <row r="48" ht="20.2" customHeight="1">
      <c r="F48" t="s" s="249">
        <v>17</v>
      </c>
      <c r="G48" s="250" cm="1">
        <f t="array" ref="G48">'Budgeting'!D6</f>
        <v>0</v>
      </c>
      <c r="H48" s="241" cm="1">
        <f t="array" ref="H48">SUMIF(D3:D41,$F48,E3:E41)</f>
        <v>0</v>
      </c>
      <c r="I48" s="241" cm="1">
        <f t="array" ref="I48">G48-H48</f>
        <v>0</v>
      </c>
    </row>
    <row r="49" ht="20.2" customHeight="1">
      <c r="F49" t="s" s="249">
        <v>18</v>
      </c>
      <c r="G49" s="250" cm="1">
        <f t="array" ref="G49">'Budgeting'!D7</f>
        <v>568.8200000000001</v>
      </c>
      <c r="H49" s="243" cm="1">
        <f t="array" ref="H49">SUMIF(D3:D41,$F49,E3:E41)</f>
        <v>568.8200000000001</v>
      </c>
      <c r="I49" s="243" cm="1">
        <f t="array" ref="I49">G49-H49</f>
        <v>0</v>
      </c>
    </row>
    <row r="50" ht="20.2" customHeight="1">
      <c r="F50" t="s" s="249">
        <v>19</v>
      </c>
      <c r="G50" s="250" cm="1">
        <f t="array" ref="G50">'Budgeting'!D8</f>
        <v>295.45</v>
      </c>
      <c r="H50" s="241" cm="1">
        <f t="array" ref="H50">SUMIF(D3:D41,$F50,E3:E41)</f>
        <v>295.45</v>
      </c>
      <c r="I50" s="241" cm="1">
        <f t="array" ref="I50">G50-H50</f>
        <v>0</v>
      </c>
    </row>
    <row r="51" ht="20.2" customHeight="1">
      <c r="F51" t="s" s="249">
        <v>20</v>
      </c>
      <c r="G51" s="250" cm="1">
        <f t="array" ref="G51">'Budgeting'!D9</f>
        <v>14.35</v>
      </c>
      <c r="H51" s="243" cm="1">
        <f t="array" ref="H51">SUMIF(D3:D41,$F51,E3:E41)</f>
        <v>14.35</v>
      </c>
      <c r="I51" s="243" cm="1">
        <f t="array" ref="I51">G51-H51</f>
        <v>0</v>
      </c>
    </row>
    <row r="52" ht="20.2" customHeight="1">
      <c r="F52" t="s" s="249">
        <v>86</v>
      </c>
      <c r="G52" s="250" cm="1">
        <f t="array" ref="G52">'Budgeting'!D10</f>
        <v>39.9</v>
      </c>
      <c r="H52" s="241" cm="1">
        <f t="array" ref="H52">SUMIF(D3:D41,$F52,E3:E41)</f>
        <v>39.9</v>
      </c>
      <c r="I52" s="241" cm="1">
        <f t="array" ref="I52">G52-H52</f>
        <v>0</v>
      </c>
    </row>
    <row r="53" ht="20.45" customHeight="1">
      <c r="F53" t="s" s="251">
        <v>22</v>
      </c>
      <c r="G53" s="252" cm="1">
        <f t="array" ref="G53">'Budgeting'!D11</f>
        <v>557.98</v>
      </c>
      <c r="H53" s="253" cm="1">
        <f t="array" ref="H53">SUMIF(D3:D41,$F53,E3:E41)</f>
        <v>557.98</v>
      </c>
      <c r="I53" s="253" cm="1">
        <f t="array" ref="I53">G53-H53</f>
        <v>0</v>
      </c>
    </row>
    <row r="54" ht="20.45" customHeight="1">
      <c r="F54" t="s" s="254">
        <v>24</v>
      </c>
      <c r="G54" s="255" cm="1">
        <f t="array" ref="G54">SUM(G45:G53)</f>
        <v>1690.59</v>
      </c>
      <c r="H54" s="255" cm="1">
        <f t="array" ref="H54">SUM(H45:H53)</f>
        <v>1690.59</v>
      </c>
      <c r="I54" s="255" cm="1">
        <f t="array" ref="I54">G54-H54</f>
        <v>0</v>
      </c>
    </row>
    <row r="56" ht="27.65" customHeight="1">
      <c r="J56" t="s" s="2">
        <v>110</v>
      </c>
      <c r="K56" s="2"/>
      <c r="L56" s="2"/>
      <c r="M56" s="2"/>
    </row>
    <row r="57" ht="23.65" customHeight="1">
      <c r="J57" t="s" s="225">
        <v>81</v>
      </c>
      <c r="K57" t="s" s="226">
        <v>108</v>
      </c>
      <c r="L57" t="s" s="226">
        <v>2</v>
      </c>
      <c r="M57" t="s" s="245">
        <v>109</v>
      </c>
    </row>
    <row r="58" ht="20.45" customHeight="1">
      <c r="J58" t="s" s="246">
        <v>105</v>
      </c>
      <c r="K58" s="247">
        <v>0</v>
      </c>
      <c r="L58" s="248" cm="1">
        <f t="array" ref="L58">SUMIF(D3:D41,$J58,E3:E41)</f>
        <v>1568</v>
      </c>
      <c r="M58" s="248" cm="1">
        <f t="array" ref="M58">L58-K58</f>
        <v>1568</v>
      </c>
    </row>
    <row r="59" ht="20.45" customHeight="1">
      <c r="J59" t="s" s="251">
        <v>102</v>
      </c>
      <c r="K59" s="252">
        <v>0</v>
      </c>
      <c r="L59" s="257" cm="1">
        <f t="array" ref="L59">SUMIF(D3:D41,$J59,E3:E41)</f>
        <v>3005</v>
      </c>
      <c r="M59" s="257" cm="1">
        <f t="array" ref="M59">L59+K59</f>
        <v>3005</v>
      </c>
    </row>
    <row r="60" ht="20.45" customHeight="1">
      <c r="J60" t="s" s="254">
        <v>24</v>
      </c>
      <c r="K60" s="255" cm="1">
        <f t="array" ref="K60">SUM(K58:K59)</f>
        <v>0</v>
      </c>
      <c r="L60" s="255" cm="1">
        <f t="array" ref="L60">SUM(L58:L59)</f>
        <v>4573</v>
      </c>
      <c r="M60" s="255" cm="1">
        <f t="array" ref="M60">L60-K$60</f>
        <v>4573</v>
      </c>
    </row>
  </sheetData>
  <mergeCells count="2">
    <mergeCell ref="F43:I43"/>
    <mergeCell ref="J56:M56"/>
  </mergeCells>
  <dataValidations count="1">
    <dataValidation type="list" allowBlank="1" showInputMessage="1" showErrorMessage="1" sqref="D3:D41">
      <formula1>"Restaurant,Entertainment,Travel &amp; auto,Utilities &amp; subscriptions,Sport &amp; activities,Food,Home,Medical,Personal Items,Other, ,Salary,Other/donations"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B2:P82"/>
  <sheetViews>
    <sheetView workbookViewId="0" showGridLines="0" defaultGridColor="1"/>
  </sheetViews>
  <sheetFormatPr defaultColWidth="10.8333" defaultRowHeight="19.9" customHeight="1" outlineLevelRow="0" outlineLevelCol="0"/>
  <cols>
    <col min="1" max="1" width="92.5312" style="281" customWidth="1"/>
    <col min="2" max="2" width="10.8359" style="281" customWidth="1"/>
    <col min="3" max="3" width="31.2266" style="281" customWidth="1"/>
    <col min="4" max="8" width="20.9219" style="281" customWidth="1"/>
    <col min="9" max="9" width="20.5859" style="296" customWidth="1"/>
    <col min="10" max="12" width="21.1094" style="296" customWidth="1"/>
    <col min="13" max="13" width="20.5859" style="297" customWidth="1"/>
    <col min="14" max="16" width="21.1094" style="297" customWidth="1"/>
    <col min="17" max="16384" width="10.8516" style="297" customWidth="1"/>
  </cols>
  <sheetData>
    <row r="1" ht="86" customHeight="1"/>
    <row r="2" ht="20.45" customHeight="1">
      <c r="B2" t="s" s="225">
        <v>79</v>
      </c>
      <c r="C2" t="s" s="226">
        <v>80</v>
      </c>
      <c r="D2" t="s" s="226">
        <v>81</v>
      </c>
      <c r="E2" t="s" s="282">
        <v>82</v>
      </c>
      <c r="F2" t="s" s="282">
        <v>174</v>
      </c>
      <c r="G2" t="s" s="282">
        <v>175</v>
      </c>
      <c r="H2" t="s" s="227">
        <v>176</v>
      </c>
    </row>
    <row r="3" ht="20.45" customHeight="1">
      <c r="B3" s="283">
        <v>46113</v>
      </c>
      <c r="C3" t="s" s="230">
        <v>177</v>
      </c>
      <c r="D3" t="s" s="230">
        <v>14</v>
      </c>
      <c r="E3" s="248">
        <v>2.66</v>
      </c>
      <c r="F3" s="248"/>
      <c r="G3" s="248"/>
      <c r="H3" s="248"/>
    </row>
    <row r="4" ht="20.2" customHeight="1">
      <c r="B4" s="277">
        <v>46113</v>
      </c>
      <c r="C4" t="s" s="233">
        <v>177</v>
      </c>
      <c r="D4" t="s" s="234">
        <v>14</v>
      </c>
      <c r="E4" s="284">
        <v>2.66</v>
      </c>
      <c r="F4" s="285"/>
      <c r="G4" s="285"/>
      <c r="H4" t="s" s="286">
        <v>178</v>
      </c>
    </row>
    <row r="5" ht="20.2" customHeight="1">
      <c r="B5" s="287">
        <v>46114</v>
      </c>
      <c r="C5" t="s" s="237">
        <v>179</v>
      </c>
      <c r="D5" t="s" s="238">
        <v>14</v>
      </c>
      <c r="E5" s="288">
        <v>39.47</v>
      </c>
      <c r="F5" s="288"/>
      <c r="G5" s="288"/>
      <c r="H5" s="288"/>
    </row>
    <row r="6" ht="20.2" customHeight="1">
      <c r="B6" s="277">
        <v>46115</v>
      </c>
      <c r="C6" t="s" s="233">
        <v>180</v>
      </c>
      <c r="D6" t="s" s="234">
        <v>14</v>
      </c>
      <c r="E6" s="284">
        <v>4.23</v>
      </c>
      <c r="F6" s="284"/>
      <c r="G6" s="284"/>
      <c r="H6" s="284"/>
    </row>
    <row r="7" ht="20.2" customHeight="1">
      <c r="B7" s="287">
        <v>46116</v>
      </c>
      <c r="C7" t="s" s="237">
        <v>181</v>
      </c>
      <c r="D7" t="s" s="238">
        <v>86</v>
      </c>
      <c r="E7" s="288">
        <v>17.62</v>
      </c>
      <c r="F7" s="289"/>
      <c r="G7" s="289"/>
      <c r="H7" t="s" s="290">
        <v>178</v>
      </c>
    </row>
    <row r="8" ht="20.2" customHeight="1">
      <c r="B8" s="277">
        <v>46116</v>
      </c>
      <c r="C8" t="s" s="233">
        <v>182</v>
      </c>
      <c r="D8" t="s" s="234">
        <v>14</v>
      </c>
      <c r="E8" s="284">
        <v>4.11</v>
      </c>
      <c r="F8" s="284"/>
      <c r="G8" s="284"/>
      <c r="H8" s="284"/>
    </row>
    <row r="9" ht="20.2" customHeight="1">
      <c r="B9" s="287">
        <v>46117</v>
      </c>
      <c r="C9" t="s" s="237">
        <v>183</v>
      </c>
      <c r="D9" t="s" s="238">
        <v>20</v>
      </c>
      <c r="E9" s="288">
        <v>6.52</v>
      </c>
      <c r="F9" s="288"/>
      <c r="G9" s="288"/>
      <c r="H9" s="288"/>
    </row>
    <row r="10" ht="20.2" customHeight="1">
      <c r="B10" s="277">
        <v>46117</v>
      </c>
      <c r="C10" t="s" s="233">
        <v>184</v>
      </c>
      <c r="D10" t="s" s="234">
        <v>19</v>
      </c>
      <c r="E10" s="284">
        <v>145.52</v>
      </c>
      <c r="F10" s="284"/>
      <c r="G10" s="284"/>
      <c r="H10" s="284"/>
    </row>
    <row r="11" ht="20.2" customHeight="1">
      <c r="B11" s="287">
        <v>46118</v>
      </c>
      <c r="C11" t="s" s="237">
        <v>180</v>
      </c>
      <c r="D11" t="s" s="238">
        <v>14</v>
      </c>
      <c r="E11" s="288">
        <v>5.45</v>
      </c>
      <c r="F11" s="288"/>
      <c r="G11" s="288"/>
      <c r="H11" s="288"/>
    </row>
    <row r="12" ht="20.2" customHeight="1">
      <c r="B12" s="277">
        <v>46119</v>
      </c>
      <c r="C12" t="s" s="233">
        <v>185</v>
      </c>
      <c r="D12" t="s" s="234">
        <v>14</v>
      </c>
      <c r="E12" s="284">
        <v>24.5</v>
      </c>
      <c r="F12" s="285"/>
      <c r="G12" s="285"/>
      <c r="H12" t="s" s="286">
        <v>178</v>
      </c>
    </row>
    <row r="13" ht="20.2" customHeight="1">
      <c r="B13" s="287">
        <v>46119</v>
      </c>
      <c r="C13" t="s" s="237">
        <v>186</v>
      </c>
      <c r="D13" t="s" s="238">
        <v>14</v>
      </c>
      <c r="E13" s="288">
        <v>1.38</v>
      </c>
      <c r="F13" s="288"/>
      <c r="G13" s="288"/>
      <c r="H13" s="288"/>
    </row>
    <row r="14" ht="20.2" customHeight="1">
      <c r="B14" s="277">
        <v>46119</v>
      </c>
      <c r="C14" t="s" s="233">
        <v>187</v>
      </c>
      <c r="D14" t="s" s="234">
        <v>14</v>
      </c>
      <c r="E14" s="284">
        <v>8.27</v>
      </c>
      <c r="F14" s="284"/>
      <c r="G14" s="284"/>
      <c r="H14" s="284"/>
    </row>
    <row r="15" ht="20.2" customHeight="1">
      <c r="B15" s="287">
        <v>46119</v>
      </c>
      <c r="C15" t="s" s="237">
        <v>188</v>
      </c>
      <c r="D15" t="s" s="238">
        <v>14</v>
      </c>
      <c r="E15" s="288">
        <v>2.64</v>
      </c>
      <c r="F15" s="288"/>
      <c r="G15" s="288"/>
      <c r="H15" s="288"/>
    </row>
    <row r="16" ht="20.2" customHeight="1">
      <c r="B16" s="277">
        <v>46120</v>
      </c>
      <c r="C16" t="s" s="233">
        <v>189</v>
      </c>
      <c r="D16" t="s" s="234">
        <v>17</v>
      </c>
      <c r="E16" s="291">
        <v>1828.71</v>
      </c>
      <c r="F16" s="291"/>
      <c r="G16" s="291"/>
      <c r="H16" s="291"/>
    </row>
    <row r="17" ht="20.2" customHeight="1">
      <c r="B17" s="287">
        <v>46120</v>
      </c>
      <c r="C17" t="s" s="237">
        <v>190</v>
      </c>
      <c r="D17" t="s" s="238">
        <v>14</v>
      </c>
      <c r="E17" s="288">
        <v>5.29</v>
      </c>
      <c r="F17" s="288"/>
      <c r="G17" s="288"/>
      <c r="H17" s="288"/>
    </row>
    <row r="18" ht="20.2" customHeight="1">
      <c r="B18" s="277">
        <v>46120</v>
      </c>
      <c r="C18" t="s" s="233">
        <v>191</v>
      </c>
      <c r="D18" t="s" s="234">
        <v>22</v>
      </c>
      <c r="E18" s="284">
        <v>21.9</v>
      </c>
      <c r="F18" s="284"/>
      <c r="G18" s="284"/>
      <c r="H18" s="284"/>
    </row>
    <row r="19" ht="20.2" customHeight="1">
      <c r="B19" s="287">
        <v>46121</v>
      </c>
      <c r="C19" t="s" s="237">
        <v>187</v>
      </c>
      <c r="D19" t="s" s="238">
        <v>14</v>
      </c>
      <c r="E19" s="288">
        <v>12.33</v>
      </c>
      <c r="F19" s="288"/>
      <c r="G19" s="288"/>
      <c r="H19" s="288"/>
    </row>
    <row r="20" ht="20.2" customHeight="1">
      <c r="B20" s="277">
        <v>46121</v>
      </c>
      <c r="C20" t="s" s="233">
        <v>192</v>
      </c>
      <c r="D20" t="s" s="234">
        <v>20</v>
      </c>
      <c r="E20" s="284">
        <v>4.32</v>
      </c>
      <c r="F20" s="284"/>
      <c r="G20" s="284"/>
      <c r="H20" s="284"/>
    </row>
    <row r="21" ht="20.2" customHeight="1">
      <c r="B21" s="287">
        <v>46122</v>
      </c>
      <c r="C21" t="s" s="237">
        <v>193</v>
      </c>
      <c r="D21" t="s" s="238">
        <v>14</v>
      </c>
      <c r="E21" s="288">
        <v>2.31</v>
      </c>
      <c r="F21" s="288"/>
      <c r="G21" s="288"/>
      <c r="H21" s="288"/>
    </row>
    <row r="22" ht="20.2" customHeight="1">
      <c r="B22" s="277">
        <v>46122</v>
      </c>
      <c r="C22" t="s" s="233">
        <v>193</v>
      </c>
      <c r="D22" t="s" s="234">
        <v>14</v>
      </c>
      <c r="E22" s="284">
        <v>2.32</v>
      </c>
      <c r="F22" s="284"/>
      <c r="G22" s="284"/>
      <c r="H22" s="284"/>
    </row>
    <row r="23" ht="20.2" customHeight="1">
      <c r="B23" s="287">
        <v>46122</v>
      </c>
      <c r="C23" t="s" s="237">
        <v>194</v>
      </c>
      <c r="D23" t="s" s="238">
        <v>16</v>
      </c>
      <c r="E23" s="288">
        <v>40.1</v>
      </c>
      <c r="F23" s="288"/>
      <c r="G23" s="288"/>
      <c r="H23" s="288"/>
    </row>
    <row r="24" ht="20.2" customHeight="1">
      <c r="B24" s="277">
        <v>46123</v>
      </c>
      <c r="C24" t="s" s="233">
        <v>195</v>
      </c>
      <c r="D24" t="s" s="234">
        <v>20</v>
      </c>
      <c r="E24" s="284">
        <v>30.83</v>
      </c>
      <c r="F24" s="284"/>
      <c r="G24" s="284"/>
      <c r="H24" s="284"/>
    </row>
    <row r="25" ht="20.2" customHeight="1">
      <c r="B25" s="287">
        <v>46123</v>
      </c>
      <c r="C25" t="s" s="237">
        <v>196</v>
      </c>
      <c r="D25" t="s" s="238">
        <v>20</v>
      </c>
      <c r="E25" s="288">
        <v>29.07</v>
      </c>
      <c r="F25" s="288"/>
      <c r="G25" s="288"/>
      <c r="H25" s="288"/>
    </row>
    <row r="26" ht="22.15" customHeight="1">
      <c r="B26" s="277">
        <v>46123</v>
      </c>
      <c r="C26" t="s" s="233">
        <v>197</v>
      </c>
      <c r="D26" t="s" s="234">
        <v>102</v>
      </c>
      <c r="E26" s="291">
        <v>2000</v>
      </c>
      <c r="F26" s="291"/>
      <c r="G26" s="291"/>
      <c r="H26" s="291"/>
    </row>
    <row r="27" ht="20.2" customHeight="1">
      <c r="B27" s="287">
        <v>46123</v>
      </c>
      <c r="C27" t="s" s="237">
        <v>198</v>
      </c>
      <c r="D27" t="s" s="238">
        <v>17</v>
      </c>
      <c r="E27" s="288">
        <v>38.58</v>
      </c>
      <c r="F27" s="288"/>
      <c r="G27" s="288"/>
      <c r="H27" s="288"/>
    </row>
    <row r="28" ht="20.2" customHeight="1">
      <c r="B28" s="277">
        <v>46124</v>
      </c>
      <c r="C28" t="s" s="233">
        <v>199</v>
      </c>
      <c r="D28" t="s" s="234">
        <v>22</v>
      </c>
      <c r="E28" s="284" cm="1">
        <f t="array" ref="E28">G28*F28</f>
        <v>14.0748208455818</v>
      </c>
      <c r="F28" s="285" cm="1">
        <f t="array" ref="F28">'Budgeting'!$AH$51</f>
        <v>0.858220783267181</v>
      </c>
      <c r="G28" s="285">
        <v>16.4</v>
      </c>
      <c r="H28" t="s" s="286">
        <v>178</v>
      </c>
    </row>
    <row r="29" ht="20.2" customHeight="1">
      <c r="B29" s="287">
        <v>46124</v>
      </c>
      <c r="C29" t="s" s="237">
        <v>200</v>
      </c>
      <c r="D29" t="s" s="238">
        <v>16</v>
      </c>
      <c r="E29" s="288">
        <v>46.26</v>
      </c>
      <c r="F29" s="288"/>
      <c r="G29" s="288"/>
      <c r="H29" s="288"/>
    </row>
    <row r="30" ht="20.2" customHeight="1">
      <c r="B30" s="277">
        <v>46124</v>
      </c>
      <c r="C30" t="s" s="233">
        <v>201</v>
      </c>
      <c r="D30" t="s" s="234">
        <v>14</v>
      </c>
      <c r="E30" s="284">
        <v>2.53</v>
      </c>
      <c r="F30" s="284"/>
      <c r="G30" s="284"/>
      <c r="H30" s="284"/>
    </row>
    <row r="31" ht="20.2" customHeight="1">
      <c r="B31" s="287">
        <v>46124</v>
      </c>
      <c r="C31" t="s" s="237">
        <v>202</v>
      </c>
      <c r="D31" t="s" s="238">
        <v>14</v>
      </c>
      <c r="E31" s="288">
        <v>3</v>
      </c>
      <c r="F31" s="288"/>
      <c r="G31" s="288"/>
      <c r="H31" s="288"/>
    </row>
    <row r="32" ht="20.2" customHeight="1">
      <c r="B32" s="277">
        <v>46125</v>
      </c>
      <c r="C32" t="s" s="233">
        <v>203</v>
      </c>
      <c r="D32" t="s" s="234">
        <v>14</v>
      </c>
      <c r="E32" s="284">
        <v>4.06</v>
      </c>
      <c r="F32" s="284"/>
      <c r="G32" s="284"/>
      <c r="H32" s="284"/>
    </row>
    <row r="33" ht="20.2" customHeight="1">
      <c r="B33" s="287">
        <v>46125</v>
      </c>
      <c r="C33" t="s" s="237">
        <v>204</v>
      </c>
      <c r="D33" t="s" s="238">
        <v>16</v>
      </c>
      <c r="E33" s="288">
        <v>3.52</v>
      </c>
      <c r="F33" s="288"/>
      <c r="G33" s="288"/>
      <c r="H33" s="288"/>
    </row>
    <row r="34" ht="20.2" customHeight="1">
      <c r="B34" s="277">
        <v>46126</v>
      </c>
      <c r="C34" t="s" s="233">
        <v>134</v>
      </c>
      <c r="D34" t="s" s="234">
        <v>86</v>
      </c>
      <c r="E34" s="284">
        <v>10.92</v>
      </c>
      <c r="F34" s="284"/>
      <c r="G34" s="284"/>
      <c r="H34" s="284"/>
    </row>
    <row r="35" ht="20.2" customHeight="1">
      <c r="B35" s="287">
        <v>46126</v>
      </c>
      <c r="C35" t="s" s="237">
        <v>99</v>
      </c>
      <c r="D35" t="s" s="238">
        <v>86</v>
      </c>
      <c r="E35" s="288">
        <v>2.89</v>
      </c>
      <c r="F35" s="288"/>
      <c r="G35" s="288"/>
      <c r="H35" s="288"/>
    </row>
    <row r="36" ht="20.2" customHeight="1">
      <c r="B36" s="277">
        <v>46127</v>
      </c>
      <c r="C36" t="s" s="233">
        <v>205</v>
      </c>
      <c r="D36" t="s" s="234">
        <v>22</v>
      </c>
      <c r="E36" s="284">
        <v>70.84999999999999</v>
      </c>
      <c r="F36" s="284"/>
      <c r="G36" s="284"/>
      <c r="H36" s="284"/>
    </row>
    <row r="37" ht="20.2" customHeight="1">
      <c r="B37" s="287">
        <v>46128</v>
      </c>
      <c r="C37" t="s" s="237">
        <v>206</v>
      </c>
      <c r="D37" t="s" s="238">
        <v>22</v>
      </c>
      <c r="E37" s="288" cm="1">
        <f t="array" ref="E37">G37*F37</f>
        <v>3.26123897641529</v>
      </c>
      <c r="F37" s="289" cm="1">
        <f t="array" ref="F37">'Budgeting'!$AH$51</f>
        <v>0.858220783267181</v>
      </c>
      <c r="G37" s="289">
        <v>3.8</v>
      </c>
      <c r="H37" t="s" s="290">
        <v>178</v>
      </c>
    </row>
    <row r="38" ht="20.2" customHeight="1">
      <c r="B38" s="277">
        <v>46128</v>
      </c>
      <c r="C38" t="s" s="233">
        <v>207</v>
      </c>
      <c r="D38" t="s" s="234">
        <v>14</v>
      </c>
      <c r="E38" s="284">
        <v>7.04</v>
      </c>
      <c r="F38" s="284"/>
      <c r="G38" s="284"/>
      <c r="H38" s="284"/>
    </row>
    <row r="39" ht="20.2" customHeight="1">
      <c r="B39" s="287">
        <v>46128</v>
      </c>
      <c r="C39" t="s" s="237">
        <v>208</v>
      </c>
      <c r="D39" t="s" s="238">
        <v>16</v>
      </c>
      <c r="E39" s="288">
        <v>11.27</v>
      </c>
      <c r="F39" s="288"/>
      <c r="G39" s="288"/>
      <c r="H39" s="288"/>
    </row>
    <row r="40" ht="20.2" customHeight="1">
      <c r="B40" s="277">
        <v>46129</v>
      </c>
      <c r="C40" t="s" s="233">
        <v>209</v>
      </c>
      <c r="D40" t="s" s="234">
        <v>14</v>
      </c>
      <c r="E40" s="284" cm="1">
        <f t="array" ref="E40">G40*F40</f>
        <v>9.86953900757258</v>
      </c>
      <c r="F40" s="285" cm="1">
        <f t="array" ref="F40">'Budgeting'!$AH$51</f>
        <v>0.858220783267181</v>
      </c>
      <c r="G40" s="285">
        <v>11.5</v>
      </c>
      <c r="H40" t="s" s="286">
        <v>178</v>
      </c>
    </row>
    <row r="41" ht="20.2" customHeight="1">
      <c r="B41" s="287">
        <v>46129</v>
      </c>
      <c r="C41" t="s" s="237">
        <v>210</v>
      </c>
      <c r="D41" t="s" s="238">
        <v>102</v>
      </c>
      <c r="E41" s="288" cm="1">
        <f t="array" ref="E41">G41*F41</f>
        <v>105.561156341863</v>
      </c>
      <c r="F41" s="289" cm="1">
        <f t="array" ref="F41">'Budgeting'!$AH$51</f>
        <v>0.858220783267181</v>
      </c>
      <c r="G41" s="289">
        <v>123</v>
      </c>
      <c r="H41" t="s" s="290">
        <v>178</v>
      </c>
    </row>
    <row r="42" ht="20.2" customHeight="1">
      <c r="B42" s="277">
        <v>46130</v>
      </c>
      <c r="C42" t="s" s="233">
        <v>211</v>
      </c>
      <c r="D42" t="s" s="234">
        <v>14</v>
      </c>
      <c r="E42" s="284" cm="1">
        <f t="array" ref="E42">G42*F42</f>
        <v>5.47544859724461</v>
      </c>
      <c r="F42" s="285" cm="1">
        <f t="array" ref="F42">'Budgeting'!$AH$51</f>
        <v>0.858220783267181</v>
      </c>
      <c r="G42" s="285">
        <v>6.38</v>
      </c>
      <c r="H42" t="s" s="286">
        <v>178</v>
      </c>
    </row>
    <row r="43" ht="20.2" customHeight="1">
      <c r="B43" s="287">
        <v>46130</v>
      </c>
      <c r="C43" t="s" s="237">
        <v>212</v>
      </c>
      <c r="D43" t="s" s="238">
        <v>22</v>
      </c>
      <c r="E43" s="288">
        <v>215.37</v>
      </c>
      <c r="F43" s="288"/>
      <c r="G43" s="288"/>
      <c r="H43" s="288"/>
    </row>
    <row r="44" ht="20.2" customHeight="1">
      <c r="B44" s="277">
        <v>46130</v>
      </c>
      <c r="C44" t="s" s="233">
        <v>213</v>
      </c>
      <c r="D44" t="s" s="234">
        <v>14</v>
      </c>
      <c r="E44" s="284">
        <v>7.07</v>
      </c>
      <c r="F44" s="284"/>
      <c r="G44" s="284"/>
      <c r="H44" s="284"/>
    </row>
    <row r="45" ht="20.2" customHeight="1">
      <c r="B45" s="287">
        <v>46131</v>
      </c>
      <c r="C45" t="s" s="237">
        <v>214</v>
      </c>
      <c r="D45" t="s" s="238">
        <v>16</v>
      </c>
      <c r="E45" s="288" cm="1">
        <f t="array" ref="E45">F45*G45</f>
        <v>50.8495814085805</v>
      </c>
      <c r="F45" s="289" cm="1">
        <f t="array" ref="F45">'Budgeting'!$AH$51</f>
        <v>0.858220783267181</v>
      </c>
      <c r="G45" s="289">
        <v>59.25</v>
      </c>
      <c r="H45" t="s" s="290">
        <v>178</v>
      </c>
    </row>
    <row r="46" ht="20.2" customHeight="1">
      <c r="B46" t="s" s="232">
        <v>215</v>
      </c>
      <c r="C46" t="s" s="233">
        <v>216</v>
      </c>
      <c r="D46" t="s" s="234">
        <v>14</v>
      </c>
      <c r="E46" s="275">
        <v>6.53</v>
      </c>
      <c r="F46" s="285"/>
      <c r="G46" s="285"/>
      <c r="H46" s="292"/>
    </row>
    <row r="47" ht="20.2" customHeight="1">
      <c r="B47" t="s" s="236">
        <v>215</v>
      </c>
      <c r="C47" t="s" s="237">
        <v>180</v>
      </c>
      <c r="D47" t="s" s="238">
        <v>14</v>
      </c>
      <c r="E47" s="278">
        <v>4.15</v>
      </c>
      <c r="F47" s="289"/>
      <c r="G47" s="289"/>
      <c r="H47" s="293"/>
    </row>
    <row r="48" ht="20.2" customHeight="1">
      <c r="B48" t="s" s="232">
        <v>217</v>
      </c>
      <c r="C48" t="s" s="233">
        <v>218</v>
      </c>
      <c r="D48" t="s" s="234">
        <v>22</v>
      </c>
      <c r="E48" s="275">
        <v>5</v>
      </c>
      <c r="F48" s="285"/>
      <c r="G48" s="285"/>
      <c r="H48" s="292"/>
    </row>
    <row r="49" ht="20.2" customHeight="1">
      <c r="B49" t="s" s="236">
        <v>219</v>
      </c>
      <c r="C49" t="s" s="237">
        <v>193</v>
      </c>
      <c r="D49" t="s" s="238">
        <v>14</v>
      </c>
      <c r="E49" s="278">
        <v>2.87</v>
      </c>
      <c r="F49" s="289"/>
      <c r="G49" s="289"/>
      <c r="H49" s="293"/>
    </row>
    <row r="50" ht="20.2" customHeight="1">
      <c r="B50" t="s" s="232">
        <v>219</v>
      </c>
      <c r="C50" t="s" s="233">
        <v>220</v>
      </c>
      <c r="D50" t="s" s="234">
        <v>86</v>
      </c>
      <c r="E50" s="275">
        <v>20.99</v>
      </c>
      <c r="F50" s="285"/>
      <c r="G50" s="285"/>
      <c r="H50" s="292"/>
    </row>
    <row r="51" ht="20.2" customHeight="1">
      <c r="B51" t="s" s="236">
        <v>221</v>
      </c>
      <c r="C51" t="s" s="237">
        <v>222</v>
      </c>
      <c r="D51" t="s" s="238">
        <v>14</v>
      </c>
      <c r="E51" s="278">
        <v>7.27</v>
      </c>
      <c r="F51" s="289"/>
      <c r="G51" s="289"/>
      <c r="H51" s="293"/>
    </row>
    <row r="52" ht="20.2" customHeight="1">
      <c r="B52" t="s" s="232">
        <v>223</v>
      </c>
      <c r="C52" t="s" s="233">
        <v>224</v>
      </c>
      <c r="D52" t="s" s="234">
        <v>22</v>
      </c>
      <c r="E52" s="275">
        <v>0.5</v>
      </c>
      <c r="F52" s="285"/>
      <c r="G52" s="285"/>
      <c r="H52" s="292"/>
    </row>
    <row r="53" ht="20.2" customHeight="1">
      <c r="B53" s="294">
        <v>46135.093530092592</v>
      </c>
      <c r="C53" t="s" s="238">
        <v>225</v>
      </c>
      <c r="D53" t="s" s="238">
        <v>22</v>
      </c>
      <c r="E53" s="288" cm="1">
        <f t="array" ref="E53">F53*G53</f>
        <v>36.5945341985126</v>
      </c>
      <c r="F53" s="289" cm="1">
        <f t="array" ref="F53">'Budgeting'!$AH$51</f>
        <v>0.858220783267181</v>
      </c>
      <c r="G53" s="265">
        <v>42.64</v>
      </c>
      <c r="H53" t="s" s="290">
        <v>178</v>
      </c>
    </row>
    <row r="54" ht="20.2" customHeight="1">
      <c r="B54" s="295">
        <v>46135.899386574078</v>
      </c>
      <c r="C54" t="s" s="234">
        <v>226</v>
      </c>
      <c r="D54" t="s" s="234">
        <v>22</v>
      </c>
      <c r="E54" s="284" cm="1">
        <f t="array" ref="E54">F54*G54</f>
        <v>1.36457104539482</v>
      </c>
      <c r="F54" s="285" cm="1">
        <f t="array" ref="F54">'Budgeting'!$AH$51</f>
        <v>0.858220783267181</v>
      </c>
      <c r="G54" s="266">
        <v>1.59</v>
      </c>
      <c r="H54" t="s" s="286">
        <v>178</v>
      </c>
    </row>
    <row r="55" ht="20.2" customHeight="1">
      <c r="B55" s="294">
        <v>46136.791423611110</v>
      </c>
      <c r="C55" t="s" s="238">
        <v>227</v>
      </c>
      <c r="D55" t="s" s="238">
        <v>14</v>
      </c>
      <c r="E55" s="288" cm="1">
        <f t="array" ref="E55">F55*G55</f>
        <v>5.75007924789011</v>
      </c>
      <c r="F55" s="289" cm="1">
        <f t="array" ref="F55">'Budgeting'!$AH$51</f>
        <v>0.858220783267181</v>
      </c>
      <c r="G55" s="265">
        <v>6.7</v>
      </c>
      <c r="H55" t="s" s="290">
        <v>178</v>
      </c>
    </row>
    <row r="56" ht="20.2" customHeight="1">
      <c r="B56" s="295">
        <v>46138.725173611114</v>
      </c>
      <c r="C56" t="s" s="234">
        <v>228</v>
      </c>
      <c r="D56" t="s" s="234">
        <v>14</v>
      </c>
      <c r="E56" s="284" cm="1">
        <f t="array" ref="E56">F56*G56</f>
        <v>6.43665587450386</v>
      </c>
      <c r="F56" s="285" cm="1">
        <f t="array" ref="F56">'Budgeting'!$AH$51</f>
        <v>0.858220783267181</v>
      </c>
      <c r="G56" s="266">
        <v>7.5</v>
      </c>
      <c r="H56" t="s" s="286">
        <v>178</v>
      </c>
    </row>
    <row r="57" ht="20.2" customHeight="1">
      <c r="B57" s="294">
        <v>46138.955520833333</v>
      </c>
      <c r="C57" t="s" s="238">
        <v>229</v>
      </c>
      <c r="D57" t="s" s="238">
        <v>102</v>
      </c>
      <c r="E57" s="288" cm="1">
        <f t="array" ref="E57">F57*G57</f>
        <v>2.91795066310842</v>
      </c>
      <c r="F57" s="289" cm="1">
        <f t="array" ref="F57">'Budgeting'!$AH$51</f>
        <v>0.858220783267181</v>
      </c>
      <c r="G57" s="265">
        <v>3.4</v>
      </c>
      <c r="H57" t="s" s="290">
        <v>178</v>
      </c>
    </row>
    <row r="58" ht="20.2" customHeight="1">
      <c r="B58" s="295">
        <v>46137.952777777777</v>
      </c>
      <c r="C58" t="s" s="234">
        <v>225</v>
      </c>
      <c r="D58" t="s" s="234">
        <v>16</v>
      </c>
      <c r="E58" s="284" cm="1">
        <f t="array" ref="E58">F58*G58</f>
        <v>25.9955075251629</v>
      </c>
      <c r="F58" s="285" cm="1">
        <f t="array" ref="F58">'Budgeting'!$AH$51</f>
        <v>0.858220783267181</v>
      </c>
      <c r="G58" s="266">
        <v>30.29</v>
      </c>
      <c r="H58" t="s" s="286">
        <v>178</v>
      </c>
    </row>
    <row r="59" ht="20.2" customHeight="1">
      <c r="B59" s="294">
        <v>46137.736631944441</v>
      </c>
      <c r="C59" t="s" s="238">
        <v>180</v>
      </c>
      <c r="D59" t="s" s="238">
        <v>14</v>
      </c>
      <c r="E59" s="288" cm="1">
        <f t="array" ref="E59">F59*G59</f>
        <v>2.78921754561834</v>
      </c>
      <c r="F59" s="289" cm="1">
        <f t="array" ref="F59">'Budgeting'!$AH$51</f>
        <v>0.858220783267181</v>
      </c>
      <c r="G59" s="265">
        <v>3.25</v>
      </c>
      <c r="H59" t="s" s="290">
        <v>178</v>
      </c>
    </row>
    <row r="60" ht="20.2" customHeight="1">
      <c r="B60" s="295">
        <v>46139.3734837963</v>
      </c>
      <c r="C60" t="s" s="234">
        <v>230</v>
      </c>
      <c r="D60" t="s" s="234">
        <v>22</v>
      </c>
      <c r="E60" s="284" cm="1">
        <f t="array" ref="E60">F60*G60</f>
        <v>11.0281370649833</v>
      </c>
      <c r="F60" s="285" cm="1">
        <f t="array" ref="F60">'Budgeting'!$AH$51</f>
        <v>0.858220783267181</v>
      </c>
      <c r="G60" s="266">
        <v>12.85</v>
      </c>
      <c r="H60" t="s" s="286">
        <v>178</v>
      </c>
    </row>
    <row r="61" ht="20.2" customHeight="1">
      <c r="B61" s="294">
        <v>46139.771099537036</v>
      </c>
      <c r="C61" t="s" s="238">
        <v>231</v>
      </c>
      <c r="D61" t="s" s="238">
        <v>16</v>
      </c>
      <c r="E61" s="288" cm="1">
        <f t="array" ref="E61">F61*G61</f>
        <v>30.7157218331324</v>
      </c>
      <c r="F61" s="289" cm="1">
        <f t="array" ref="F61">'Budgeting'!$AH$51</f>
        <v>0.858220783267181</v>
      </c>
      <c r="G61" s="265">
        <v>35.79</v>
      </c>
      <c r="H61" t="s" s="290">
        <v>178</v>
      </c>
    </row>
    <row r="62" ht="20.2" customHeight="1">
      <c r="B62" s="295">
        <v>46140.939467592594</v>
      </c>
      <c r="C62" t="s" s="234">
        <v>230</v>
      </c>
      <c r="D62" t="s" s="234">
        <v>22</v>
      </c>
      <c r="E62" s="284" cm="1">
        <f t="array" ref="E62">F62*G62</f>
        <v>6.86576626613745</v>
      </c>
      <c r="F62" s="285" cm="1">
        <f t="array" ref="F62">'Budgeting'!$AH$51</f>
        <v>0.858220783267181</v>
      </c>
      <c r="G62" s="266">
        <v>8</v>
      </c>
      <c r="H62" t="s" s="286">
        <v>178</v>
      </c>
    </row>
    <row r="63" ht="20.2" customHeight="1">
      <c r="B63" s="294">
        <v>46136.939467592594</v>
      </c>
      <c r="C63" t="s" s="238">
        <v>232</v>
      </c>
      <c r="D63" t="s" s="238">
        <v>22</v>
      </c>
      <c r="E63" s="288">
        <v>40</v>
      </c>
      <c r="F63" s="289"/>
      <c r="G63" s="267"/>
      <c r="H63" s="293"/>
    </row>
    <row r="65" ht="27.65" customHeight="1">
      <c r="I65" t="s" s="2">
        <v>107</v>
      </c>
      <c r="J65" s="2"/>
      <c r="K65" s="2"/>
      <c r="L65" s="2"/>
    </row>
    <row r="66" ht="23.65" customHeight="1">
      <c r="I66" t="s" s="225">
        <v>81</v>
      </c>
      <c r="J66" t="s" s="226">
        <v>108</v>
      </c>
      <c r="K66" t="s" s="226">
        <v>2</v>
      </c>
      <c r="L66" t="s" s="245">
        <v>109</v>
      </c>
    </row>
    <row r="67" ht="20.45" customHeight="1">
      <c r="I67" t="s" s="246">
        <v>14</v>
      </c>
      <c r="J67" s="247" cm="1">
        <f t="array" ref="J67">'Budgeting'!E3</f>
        <v>192.436285997496</v>
      </c>
      <c r="K67" s="248" cm="1">
        <f t="array" ref="K67">SUMIF(D3:D63,$I67,E3:E63)</f>
        <v>192.460940272830</v>
      </c>
      <c r="L67" s="248" cm="1">
        <f t="array" ref="L67">J67-K67</f>
        <v>-0.024654275334</v>
      </c>
    </row>
    <row r="68" ht="20.2" customHeight="1">
      <c r="I68" t="s" s="249">
        <v>15</v>
      </c>
      <c r="J68" s="250" cm="1">
        <f t="array" ref="J68">'Budgeting'!E4</f>
        <v>0</v>
      </c>
      <c r="K68" s="241" cm="1">
        <f t="array" ref="K68">SUMIF(D3:D63,$I68,E3:E63)</f>
        <v>0</v>
      </c>
      <c r="L68" s="241" cm="1">
        <f t="array" ref="L68">J68-K68</f>
        <v>0</v>
      </c>
    </row>
    <row r="69" ht="20.2" customHeight="1">
      <c r="I69" t="s" s="249">
        <v>16</v>
      </c>
      <c r="J69" s="250" cm="1">
        <f t="array" ref="J69">'Budgeting'!E5</f>
        <v>208.623351940735</v>
      </c>
      <c r="K69" s="243" cm="1">
        <f t="array" ref="K69">SUMIF(D3:D63,$I69,E3:E63)</f>
        <v>208.710810766876</v>
      </c>
      <c r="L69" s="243" cm="1">
        <f t="array" ref="L69">J69-K69</f>
        <v>-0.08745882614100001</v>
      </c>
    </row>
    <row r="70" ht="20.2" customHeight="1">
      <c r="I70" t="s" s="249">
        <v>17</v>
      </c>
      <c r="J70" s="250" cm="1">
        <f t="array" ref="J70">'Budgeting'!E6</f>
        <v>1867.29</v>
      </c>
      <c r="K70" s="241" cm="1">
        <f t="array" ref="K70">SUMIF(D3:D63,$I70,E3:E63)</f>
        <v>1867.29</v>
      </c>
      <c r="L70" s="241" cm="1">
        <f t="array" ref="L70">J70-K70</f>
        <v>0</v>
      </c>
    </row>
    <row r="71" ht="20.2" customHeight="1">
      <c r="I71" t="s" s="249">
        <v>18</v>
      </c>
      <c r="J71" s="250" cm="1">
        <f t="array" ref="J71">'Budgeting'!E7</f>
        <v>0</v>
      </c>
      <c r="K71" s="243" cm="1">
        <f t="array" ref="K71">SUMIF(D3:D63,$I71,E3:E63)</f>
        <v>0</v>
      </c>
      <c r="L71" s="243" cm="1">
        <f t="array" ref="L71">J71-K71</f>
        <v>0</v>
      </c>
    </row>
    <row r="72" ht="20.2" customHeight="1">
      <c r="I72" t="s" s="249">
        <v>19</v>
      </c>
      <c r="J72" s="250" cm="1">
        <f t="array" ref="J72">'Budgeting'!E8</f>
        <v>145.52</v>
      </c>
      <c r="K72" s="241" cm="1">
        <f t="array" ref="K72">SUMIF(D3:D63,$I72,E3:E63)</f>
        <v>145.52</v>
      </c>
      <c r="L72" s="241" cm="1">
        <f t="array" ref="L72">J72-K72</f>
        <v>0</v>
      </c>
    </row>
    <row r="73" ht="20.2" customHeight="1">
      <c r="I73" t="s" s="249">
        <v>20</v>
      </c>
      <c r="J73" s="250" cm="1">
        <f t="array" ref="J73">'Budgeting'!E9</f>
        <v>70.73999999999999</v>
      </c>
      <c r="K73" s="243" cm="1">
        <f t="array" ref="K73">SUMIF(D3:D63,$I73,E3:E63)</f>
        <v>70.73999999999999</v>
      </c>
      <c r="L73" s="243" cm="1">
        <f t="array" ref="L73">J73-K73</f>
        <v>0</v>
      </c>
    </row>
    <row r="74" ht="20.2" customHeight="1">
      <c r="I74" t="s" s="249">
        <v>86</v>
      </c>
      <c r="J74" s="250" cm="1">
        <f t="array" ref="J74">'Budgeting'!E10</f>
        <v>52.42</v>
      </c>
      <c r="K74" s="241" cm="1">
        <f t="array" ref="K74">SUMIF(D3:D63,$I74,E3:E63)</f>
        <v>52.42</v>
      </c>
      <c r="L74" s="241" cm="1">
        <f t="array" ref="L74">J74-K74</f>
        <v>0</v>
      </c>
    </row>
    <row r="75" ht="20.45" customHeight="1">
      <c r="I75" t="s" s="251">
        <v>22</v>
      </c>
      <c r="J75" s="252" cm="1">
        <f t="array" ref="J75">'Budgeting'!E11</f>
        <v>426.749557595993</v>
      </c>
      <c r="K75" s="253" cm="1">
        <f t="array" ref="K75">SUMIF(D3:D63,$I75,E3:E63)</f>
        <v>426.809068397025</v>
      </c>
      <c r="L75" s="253" cm="1">
        <f t="array" ref="L75">J75-K75</f>
        <v>-0.059510801032</v>
      </c>
    </row>
    <row r="76" ht="20.45" customHeight="1">
      <c r="I76" t="s" s="254">
        <v>24</v>
      </c>
      <c r="J76" s="255" cm="1">
        <f t="array" ref="J76">SUM(J67:J75)</f>
        <v>2963.779195534220</v>
      </c>
      <c r="K76" s="255" cm="1">
        <f t="array" ref="K76">SUM(K67:K75)</f>
        <v>2963.950819436730</v>
      </c>
      <c r="L76" s="255" cm="1">
        <f t="array" ref="L76">J76-K76</f>
        <v>-0.171623902510</v>
      </c>
    </row>
    <row r="78" ht="27.65" customHeight="1">
      <c r="M78" t="s" s="2">
        <v>110</v>
      </c>
      <c r="N78" s="2"/>
      <c r="O78" s="2"/>
      <c r="P78" s="2"/>
    </row>
    <row r="79" ht="23.65" customHeight="1">
      <c r="M79" t="s" s="225">
        <v>81</v>
      </c>
      <c r="N79" t="s" s="226">
        <v>108</v>
      </c>
      <c r="O79" t="s" s="226">
        <v>2</v>
      </c>
      <c r="P79" t="s" s="245">
        <v>109</v>
      </c>
    </row>
    <row r="80" ht="20.45" customHeight="1">
      <c r="M80" t="s" s="246">
        <v>105</v>
      </c>
      <c r="N80" s="247">
        <v>0</v>
      </c>
      <c r="O80" s="248" cm="1">
        <f t="array" ref="O80">SUMIF(D3:D63,$M80,E3:E63)</f>
        <v>0</v>
      </c>
      <c r="P80" s="248" cm="1">
        <f t="array" ref="P80">O80-N80</f>
        <v>0</v>
      </c>
    </row>
    <row r="81" ht="20.45" customHeight="1">
      <c r="M81" t="s" s="251">
        <v>102</v>
      </c>
      <c r="N81" s="252">
        <v>0</v>
      </c>
      <c r="O81" s="257" cm="1">
        <f t="array" ref="O81">SUMIF(D3:D63,$M81,E3:E63)</f>
        <v>2108.479107004970</v>
      </c>
      <c r="P81" s="257" cm="1">
        <f t="array" ref="P81">O81+N81</f>
        <v>2108.479107004970</v>
      </c>
    </row>
    <row r="82" ht="20.45" customHeight="1">
      <c r="M82" t="s" s="254">
        <v>24</v>
      </c>
      <c r="N82" s="255" cm="1">
        <f t="array" ref="N82">SUM(N80:N81)</f>
        <v>0</v>
      </c>
      <c r="O82" s="255" cm="1">
        <f t="array" ref="O82">SUM(O80:O81)</f>
        <v>2108.479107004970</v>
      </c>
      <c r="P82" s="255" cm="1">
        <f t="array" ref="P82">O82-N$82</f>
        <v>2108.479107004970</v>
      </c>
    </row>
  </sheetData>
  <mergeCells count="2">
    <mergeCell ref="I65:L65"/>
    <mergeCell ref="M78:P78"/>
  </mergeCells>
  <dataValidations count="1">
    <dataValidation type="list" allowBlank="1" showInputMessage="1" showErrorMessage="1" sqref="D3:D63">
      <formula1>"Restaurant,Entertainment,Travel &amp; auto,Utilities &amp; subscriptions,Sport &amp; activities,Food,Home,Medical,Personal Items,Other, ,Salary,Other/donations"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B2:P116"/>
  <sheetViews>
    <sheetView workbookViewId="0" showGridLines="0" defaultGridColor="1"/>
  </sheetViews>
  <sheetFormatPr defaultColWidth="10.8333" defaultRowHeight="19.9" customHeight="1" outlineLevelRow="0" outlineLevelCol="0"/>
  <cols>
    <col min="1" max="1" width="92.5312" style="298" customWidth="1"/>
    <col min="2" max="2" width="10.8359" style="298" customWidth="1"/>
    <col min="3" max="3" width="31.2266" style="298" customWidth="1"/>
    <col min="4" max="8" width="20.9219" style="298" customWidth="1"/>
    <col min="9" max="9" width="20.5859" style="312" customWidth="1"/>
    <col min="10" max="12" width="21.1094" style="312" customWidth="1"/>
    <col min="13" max="13" width="20.5859" style="313" customWidth="1"/>
    <col min="14" max="16" width="21.1094" style="313" customWidth="1"/>
    <col min="17" max="16384" width="10.8516" style="313" customWidth="1"/>
  </cols>
  <sheetData>
    <row r="1" ht="86" customHeight="1"/>
    <row r="2" ht="20.45" customHeight="1">
      <c r="B2" t="s" s="225">
        <v>79</v>
      </c>
      <c r="C2" t="s" s="226">
        <v>80</v>
      </c>
      <c r="D2" t="s" s="226">
        <v>81</v>
      </c>
      <c r="E2" t="s" s="282">
        <v>82</v>
      </c>
      <c r="F2" s="282"/>
      <c r="G2" s="282"/>
      <c r="H2" s="227"/>
    </row>
    <row r="3" ht="20.45" customHeight="1">
      <c r="B3" s="299">
        <v>46143.499710648146</v>
      </c>
      <c r="C3" t="s" s="230">
        <v>233</v>
      </c>
      <c r="D3" t="s" s="230">
        <v>20</v>
      </c>
      <c r="E3" s="300" cm="1">
        <f t="array" ref="E3">F3*G3</f>
        <v>6.86576626613745</v>
      </c>
      <c r="F3" s="301" cm="1">
        <f t="array" ref="F3">'Budgeting'!$AH$51</f>
        <v>0.858220783267181</v>
      </c>
      <c r="G3" s="302">
        <v>8</v>
      </c>
      <c r="H3" t="s" s="303">
        <v>178</v>
      </c>
    </row>
    <row r="4" ht="20.2" customHeight="1">
      <c r="B4" s="295">
        <v>46143.750208333331</v>
      </c>
      <c r="C4" t="s" s="234">
        <v>234</v>
      </c>
      <c r="D4" t="s" s="234">
        <v>14</v>
      </c>
      <c r="E4" s="284" cm="1">
        <f t="array" ref="E4">F4*G4</f>
        <v>1.47613974721955</v>
      </c>
      <c r="F4" s="285" cm="1">
        <f t="array" ref="F4">'Budgeting'!$AH$51</f>
        <v>0.858220783267181</v>
      </c>
      <c r="G4" s="266">
        <v>1.72</v>
      </c>
      <c r="H4" t="s" s="286">
        <v>178</v>
      </c>
    </row>
    <row r="5" ht="20.2" customHeight="1">
      <c r="B5" s="294">
        <v>46143.916469907410</v>
      </c>
      <c r="C5" t="s" s="238">
        <v>235</v>
      </c>
      <c r="D5" t="s" s="238">
        <v>14</v>
      </c>
      <c r="E5" s="288" cm="1">
        <f t="array" ref="E5">F5*G5</f>
        <v>4.61722781397743</v>
      </c>
      <c r="F5" s="289" cm="1">
        <f t="array" ref="F5">'Budgeting'!$AH$51</f>
        <v>0.858220783267181</v>
      </c>
      <c r="G5" s="265">
        <v>5.38</v>
      </c>
      <c r="H5" t="s" s="290">
        <v>178</v>
      </c>
    </row>
    <row r="6" ht="20.2" customHeight="1">
      <c r="B6" s="295">
        <v>46143.687708333331</v>
      </c>
      <c r="C6" t="s" s="234">
        <v>236</v>
      </c>
      <c r="D6" t="s" s="234">
        <v>19</v>
      </c>
      <c r="E6" s="284" cm="1">
        <f t="array" ref="E6">F6*G6</f>
        <v>2.78921754561834</v>
      </c>
      <c r="F6" s="285" cm="1">
        <f t="array" ref="F6">'Budgeting'!$AH$51</f>
        <v>0.858220783267181</v>
      </c>
      <c r="G6" s="266">
        <v>3.25</v>
      </c>
      <c r="H6" t="s" s="286">
        <v>178</v>
      </c>
    </row>
    <row r="7" ht="20.2" customHeight="1">
      <c r="B7" s="294">
        <v>46142.753726851850</v>
      </c>
      <c r="C7" t="s" s="238">
        <v>237</v>
      </c>
      <c r="D7" t="s" s="238">
        <v>16</v>
      </c>
      <c r="E7" s="288" cm="1">
        <f t="array" ref="E7">F7*G7</f>
        <v>3.78475365420827</v>
      </c>
      <c r="F7" s="289" cm="1">
        <f t="array" ref="F7">'Budgeting'!$AH$51</f>
        <v>0.858220783267181</v>
      </c>
      <c r="G7" s="265">
        <v>4.41</v>
      </c>
      <c r="H7" t="s" s="290">
        <v>178</v>
      </c>
    </row>
    <row r="8" ht="20.2" customHeight="1">
      <c r="B8" s="295">
        <v>46144.672951388886</v>
      </c>
      <c r="C8" t="s" s="234">
        <v>238</v>
      </c>
      <c r="D8" t="s" s="234">
        <v>14</v>
      </c>
      <c r="E8" s="284" cm="1">
        <f t="array" ref="E8">F8*G8</f>
        <v>0.952625069426571</v>
      </c>
      <c r="F8" s="285" cm="1">
        <f t="array" ref="F8">'Budgeting'!$AH$51</f>
        <v>0.858220783267181</v>
      </c>
      <c r="G8" s="266">
        <v>1.11</v>
      </c>
      <c r="H8" t="s" s="286">
        <v>178</v>
      </c>
    </row>
    <row r="9" ht="20.2" customHeight="1">
      <c r="B9" s="294">
        <v>46144.748715277776</v>
      </c>
      <c r="C9" t="s" s="238">
        <v>239</v>
      </c>
      <c r="D9" t="s" s="238">
        <v>86</v>
      </c>
      <c r="E9" s="288" cm="1">
        <f t="array" ref="E9">F9*G9</f>
        <v>17.1644156653436</v>
      </c>
      <c r="F9" s="289" cm="1">
        <f t="array" ref="F9">'Budgeting'!$AH$51</f>
        <v>0.858220783267181</v>
      </c>
      <c r="G9" s="265">
        <v>20</v>
      </c>
      <c r="H9" t="s" s="290">
        <v>178</v>
      </c>
    </row>
    <row r="10" ht="20.2" customHeight="1">
      <c r="B10" s="295">
        <v>46145.801678240743</v>
      </c>
      <c r="C10" t="s" s="234">
        <v>240</v>
      </c>
      <c r="D10" t="s" s="234">
        <v>16</v>
      </c>
      <c r="E10" s="284" cm="1">
        <f t="array" ref="E10">F10*G10</f>
        <v>8.77101640499059</v>
      </c>
      <c r="F10" s="285" cm="1">
        <f t="array" ref="F10">'Budgeting'!$AH$51</f>
        <v>0.858220783267181</v>
      </c>
      <c r="G10" s="266">
        <v>10.22</v>
      </c>
      <c r="H10" t="s" s="286">
        <v>178</v>
      </c>
    </row>
    <row r="11" ht="20.2" customHeight="1">
      <c r="B11" s="294">
        <v>46145.522199074076</v>
      </c>
      <c r="C11" t="s" s="238">
        <v>241</v>
      </c>
      <c r="D11" t="s" s="238">
        <v>14</v>
      </c>
      <c r="E11" s="288" cm="1">
        <f t="array" ref="E11">F11*G11</f>
        <v>8.68519432666387</v>
      </c>
      <c r="F11" s="289" cm="1">
        <f t="array" ref="F11">'Budgeting'!$AH$51</f>
        <v>0.858220783267181</v>
      </c>
      <c r="G11" s="265">
        <v>10.12</v>
      </c>
      <c r="H11" t="s" s="290">
        <v>178</v>
      </c>
    </row>
    <row r="12" ht="20.2" customHeight="1">
      <c r="B12" s="295">
        <v>46146.3846875</v>
      </c>
      <c r="C12" t="s" s="234">
        <v>242</v>
      </c>
      <c r="D12" t="s" s="234">
        <v>14</v>
      </c>
      <c r="E12" s="284" cm="1">
        <f t="array" ref="E12">F12*G12</f>
        <v>2.31719611482139</v>
      </c>
      <c r="F12" s="285" cm="1">
        <f t="array" ref="F12">'Budgeting'!$AH$51</f>
        <v>0.858220783267181</v>
      </c>
      <c r="G12" s="266">
        <v>2.7</v>
      </c>
      <c r="H12" t="s" s="286">
        <v>178</v>
      </c>
    </row>
    <row r="13" ht="20.2" customHeight="1">
      <c r="B13" s="294">
        <v>46146.787893518522</v>
      </c>
      <c r="C13" t="s" s="238">
        <v>243</v>
      </c>
      <c r="D13" t="s" s="238">
        <v>114</v>
      </c>
      <c r="E13" s="288" cm="1">
        <f t="array" ref="E13">F13*G13</f>
        <v>85.8220783267181</v>
      </c>
      <c r="F13" s="289" cm="1">
        <f t="array" ref="F13">'Budgeting'!$AH$51</f>
        <v>0.858220783267181</v>
      </c>
      <c r="G13" s="265">
        <v>100</v>
      </c>
      <c r="H13" t="s" s="290">
        <v>178</v>
      </c>
    </row>
    <row r="14" ht="20.2" customHeight="1">
      <c r="B14" s="295">
        <v>46146.822256944448</v>
      </c>
      <c r="C14" t="s" s="234">
        <v>244</v>
      </c>
      <c r="D14" t="s" s="234">
        <v>22</v>
      </c>
      <c r="E14" s="284" cm="1">
        <f t="array" ref="E14">F14*G14</f>
        <v>2.9522794944391</v>
      </c>
      <c r="F14" s="285" cm="1">
        <f t="array" ref="F14">'Budgeting'!$AH$51</f>
        <v>0.858220783267181</v>
      </c>
      <c r="G14" s="266">
        <v>3.44</v>
      </c>
      <c r="H14" t="s" s="286">
        <v>178</v>
      </c>
    </row>
    <row r="15" ht="32.2" customHeight="1">
      <c r="B15" s="294">
        <v>46146.8237962963</v>
      </c>
      <c r="C15" t="s" s="238">
        <v>245</v>
      </c>
      <c r="D15" t="s" s="238">
        <v>17</v>
      </c>
      <c r="E15" s="288" cm="1">
        <f t="array" ref="E15">F15*G15</f>
        <v>1596.290656876960</v>
      </c>
      <c r="F15" s="289" cm="1">
        <f t="array" ref="F15">'Budgeting'!$AH$51</f>
        <v>0.858220783267181</v>
      </c>
      <c r="G15" s="265">
        <v>1860</v>
      </c>
      <c r="H15" t="s" s="290">
        <v>178</v>
      </c>
    </row>
    <row r="16" ht="20.2" customHeight="1">
      <c r="B16" s="295">
        <v>46146.913912037038</v>
      </c>
      <c r="C16" t="s" s="234">
        <v>246</v>
      </c>
      <c r="D16" t="s" s="234">
        <v>20</v>
      </c>
      <c r="E16" s="284" cm="1">
        <f t="array" ref="E16">F16*G16</f>
        <v>169.069494303635</v>
      </c>
      <c r="F16" s="285" cm="1">
        <f t="array" ref="F16">'Budgeting'!$AH$51</f>
        <v>0.858220783267181</v>
      </c>
      <c r="G16" s="266">
        <v>197</v>
      </c>
      <c r="H16" t="s" s="286">
        <v>178</v>
      </c>
    </row>
    <row r="17" ht="20.2" customHeight="1">
      <c r="B17" s="294">
        <v>46147.913912037038</v>
      </c>
      <c r="C17" t="s" s="238">
        <v>240</v>
      </c>
      <c r="D17" t="s" s="238">
        <v>16</v>
      </c>
      <c r="E17" s="288" cm="1">
        <f t="array" ref="E17">F17*G17</f>
        <v>46.155113724109</v>
      </c>
      <c r="F17" s="289" cm="1">
        <f t="array" ref="F17">'Budgeting'!$AH$51</f>
        <v>0.858220783267181</v>
      </c>
      <c r="G17" s="243">
        <v>53.78</v>
      </c>
      <c r="H17" t="s" s="238">
        <v>178</v>
      </c>
    </row>
    <row r="18" ht="20.2" customHeight="1">
      <c r="B18" s="295">
        <v>46147.913912037038</v>
      </c>
      <c r="C18" t="s" s="234">
        <v>247</v>
      </c>
      <c r="D18" t="s" s="234">
        <v>22</v>
      </c>
      <c r="E18" s="241">
        <v>42.58</v>
      </c>
      <c r="F18" s="285" cm="1">
        <f t="array" ref="F18">'Budgeting'!$AH$51</f>
        <v>0.858220783267181</v>
      </c>
      <c r="G18" s="241"/>
      <c r="H18" t="s" s="234">
        <v>178</v>
      </c>
    </row>
    <row r="19" ht="20.2" customHeight="1">
      <c r="B19" s="294">
        <v>46151.017511574071</v>
      </c>
      <c r="C19" t="s" s="238">
        <v>248</v>
      </c>
      <c r="D19" t="s" s="238">
        <v>14</v>
      </c>
      <c r="E19" s="243" cm="1">
        <f t="array" ref="E19">G19*F19</f>
        <v>11.1568701824734</v>
      </c>
      <c r="F19" s="289" cm="1">
        <f t="array" ref="F19">'Budgeting'!$AH$51</f>
        <v>0.858220783267181</v>
      </c>
      <c r="G19" s="243">
        <v>13</v>
      </c>
      <c r="H19" t="s" s="238">
        <v>178</v>
      </c>
    </row>
    <row r="20" ht="20.2" customHeight="1">
      <c r="B20" s="295">
        <v>46151.028275462966</v>
      </c>
      <c r="C20" t="s" s="234">
        <v>249</v>
      </c>
      <c r="D20" t="s" s="234">
        <v>14</v>
      </c>
      <c r="E20" s="241" cm="1">
        <f t="array" ref="E20">G20*F20</f>
        <v>2.14555195816795</v>
      </c>
      <c r="F20" s="285" cm="1">
        <f t="array" ref="F20">'Budgeting'!$AH$51</f>
        <v>0.858220783267181</v>
      </c>
      <c r="G20" s="241">
        <v>2.5</v>
      </c>
      <c r="H20" t="s" s="234">
        <v>178</v>
      </c>
    </row>
    <row r="21" ht="20.2" customHeight="1">
      <c r="B21" s="294">
        <v>46149.479513888888</v>
      </c>
      <c r="C21" t="s" s="238">
        <v>250</v>
      </c>
      <c r="D21" t="s" s="238">
        <v>19</v>
      </c>
      <c r="E21" s="243" cm="1">
        <f t="array" ref="E21">G21*F21</f>
        <v>6.06762093769897</v>
      </c>
      <c r="F21" s="289" cm="1">
        <f t="array" ref="F21">'Budgeting'!$AH$51</f>
        <v>0.858220783267181</v>
      </c>
      <c r="G21" s="243">
        <v>7.07</v>
      </c>
      <c r="H21" t="s" s="238">
        <v>178</v>
      </c>
    </row>
    <row r="22" ht="20.2" customHeight="1">
      <c r="B22" s="295">
        <v>46150.800787037035</v>
      </c>
      <c r="C22" t="s" s="234">
        <v>225</v>
      </c>
      <c r="D22" t="s" s="234">
        <v>16</v>
      </c>
      <c r="E22" s="241" cm="1">
        <f t="array" ref="E22">G22*F22</f>
        <v>8.942660561644029</v>
      </c>
      <c r="F22" s="285" cm="1">
        <f t="array" ref="F22">'Budgeting'!$AH$51</f>
        <v>0.858220783267181</v>
      </c>
      <c r="G22" s="241">
        <v>10.42</v>
      </c>
      <c r="H22" t="s" s="234">
        <v>178</v>
      </c>
    </row>
    <row r="23" ht="20.2" customHeight="1">
      <c r="B23" s="294">
        <v>46150.947071759256</v>
      </c>
      <c r="C23" t="s" s="238">
        <v>251</v>
      </c>
      <c r="D23" t="s" s="238">
        <v>14</v>
      </c>
      <c r="E23" s="243" cm="1">
        <f t="array" ref="E23">G23*F23</f>
        <v>7.29487665777104</v>
      </c>
      <c r="F23" s="289" cm="1">
        <f t="array" ref="F23">'Budgeting'!$AH$51</f>
        <v>0.858220783267181</v>
      </c>
      <c r="G23" s="243">
        <v>8.5</v>
      </c>
      <c r="H23" t="s" s="238">
        <v>178</v>
      </c>
    </row>
    <row r="24" ht="20.2" customHeight="1">
      <c r="B24" s="295">
        <v>46150.942569444444</v>
      </c>
      <c r="C24" t="s" s="234">
        <v>252</v>
      </c>
      <c r="D24" t="s" s="234">
        <v>14</v>
      </c>
      <c r="E24" s="241" cm="1">
        <f t="array" ref="E24">G24*F24</f>
        <v>4.29110391633591</v>
      </c>
      <c r="F24" s="285" cm="1">
        <f t="array" ref="F24">'Budgeting'!$AH$51</f>
        <v>0.858220783267181</v>
      </c>
      <c r="G24" s="241">
        <v>5</v>
      </c>
      <c r="H24" t="s" s="234">
        <v>178</v>
      </c>
    </row>
    <row r="25" ht="20.2" customHeight="1">
      <c r="B25" s="294">
        <v>46151.893634259257</v>
      </c>
      <c r="C25" t="s" s="238">
        <v>253</v>
      </c>
      <c r="D25" t="s" s="238">
        <v>14</v>
      </c>
      <c r="E25" s="243" cm="1">
        <f t="array" ref="E25">G25*F25</f>
        <v>17.2159089123397</v>
      </c>
      <c r="F25" s="289" cm="1">
        <f t="array" ref="F25">'Budgeting'!$AH$51</f>
        <v>0.858220783267181</v>
      </c>
      <c r="G25" s="243" cm="1">
        <f t="array" ref="G25">23.56-3.5</f>
        <v>20.06</v>
      </c>
      <c r="H25" t="s" s="238">
        <v>254</v>
      </c>
    </row>
    <row r="26" ht="20.2" customHeight="1">
      <c r="B26" s="295">
        <v>46150.797476851854</v>
      </c>
      <c r="C26" t="s" s="234">
        <v>225</v>
      </c>
      <c r="D26" t="s" s="234">
        <v>16</v>
      </c>
      <c r="E26" s="241" cm="1">
        <f t="array" ref="E26">G26*F26</f>
        <v>10.1613340738834</v>
      </c>
      <c r="F26" s="285" cm="1">
        <f t="array" ref="F26">'Budgeting'!$AH$51</f>
        <v>0.858220783267181</v>
      </c>
      <c r="G26" s="241">
        <v>11.84</v>
      </c>
      <c r="H26" t="s" s="234">
        <v>178</v>
      </c>
    </row>
    <row r="27" ht="20.2" customHeight="1">
      <c r="B27" s="294">
        <v>46152.550509259258</v>
      </c>
      <c r="C27" t="s" s="238">
        <v>231</v>
      </c>
      <c r="D27" t="s" s="238">
        <v>16</v>
      </c>
      <c r="E27" s="243" cm="1">
        <f t="array" ref="E27">G27*F27</f>
        <v>8.91691393814601</v>
      </c>
      <c r="F27" s="289" cm="1">
        <f t="array" ref="F27">'Budgeting'!$AH$51</f>
        <v>0.858220783267181</v>
      </c>
      <c r="G27" s="243" cm="1">
        <f t="array" ref="G27">20.68-5-5.29</f>
        <v>10.39</v>
      </c>
      <c r="H27" t="s" s="238">
        <v>255</v>
      </c>
    </row>
    <row r="28" ht="20.2" customHeight="1">
      <c r="B28" s="295">
        <v>46152.818344907406</v>
      </c>
      <c r="C28" t="s" s="234">
        <v>231</v>
      </c>
      <c r="D28" t="s" s="234">
        <v>16</v>
      </c>
      <c r="E28" s="241" cm="1">
        <f t="array" ref="E28">G28*F28</f>
        <v>18.0655474877742</v>
      </c>
      <c r="F28" s="285" cm="1">
        <f t="array" ref="F28">'Budgeting'!$AH$51</f>
        <v>0.858220783267181</v>
      </c>
      <c r="G28" s="241">
        <v>21.05</v>
      </c>
      <c r="H28" t="s" s="234">
        <v>178</v>
      </c>
    </row>
    <row r="29" ht="20.2" customHeight="1">
      <c r="B29" s="294">
        <v>46152.819120370368</v>
      </c>
      <c r="C29" t="s" s="238">
        <v>231</v>
      </c>
      <c r="D29" t="s" s="238">
        <v>16</v>
      </c>
      <c r="E29" s="243" cm="1">
        <f t="array" ref="E29">G29*F29</f>
        <v>5.87881236538019</v>
      </c>
      <c r="F29" s="289" cm="1">
        <f t="array" ref="F29">'Budgeting'!$AH$51</f>
        <v>0.858220783267181</v>
      </c>
      <c r="G29" s="243">
        <v>6.85</v>
      </c>
      <c r="H29" t="s" s="238">
        <v>178</v>
      </c>
    </row>
    <row r="30" ht="20.2" customHeight="1">
      <c r="B30" s="295">
        <v>46151.973356481481</v>
      </c>
      <c r="C30" t="s" s="234">
        <v>256</v>
      </c>
      <c r="D30" t="s" s="234">
        <v>14</v>
      </c>
      <c r="E30" s="241" cm="1">
        <f t="array" ref="E30">G30*F30</f>
        <v>9.440428615938989</v>
      </c>
      <c r="F30" s="285" cm="1">
        <f t="array" ref="F30">'Budgeting'!$AH$51</f>
        <v>0.858220783267181</v>
      </c>
      <c r="G30" s="241">
        <v>11</v>
      </c>
      <c r="H30" t="s" s="234">
        <v>178</v>
      </c>
    </row>
    <row r="31" ht="32.2" customHeight="1">
      <c r="B31" s="304">
        <v>46156.661423611113</v>
      </c>
      <c r="C31" t="s" s="238">
        <v>257</v>
      </c>
      <c r="D31" t="s" s="238">
        <v>19</v>
      </c>
      <c r="E31" s="305" cm="1">
        <f t="array" ref="E31">G31*F31</f>
        <v>80.8443977837685</v>
      </c>
      <c r="F31" s="289" cm="1">
        <f t="array" ref="F31">'Budgeting'!$AH$51</f>
        <v>0.858220783267181</v>
      </c>
      <c r="G31" s="265">
        <v>94.2</v>
      </c>
      <c r="H31" s="267"/>
    </row>
    <row r="32" ht="20.2" customHeight="1">
      <c r="B32" s="306">
        <v>46156.030532407407</v>
      </c>
      <c r="C32" t="s" s="234">
        <v>258</v>
      </c>
      <c r="D32" t="s" s="234">
        <v>19</v>
      </c>
      <c r="E32" s="307" cm="1">
        <f t="array" ref="E32">G32*F32</f>
        <v>14.1692251317412</v>
      </c>
      <c r="F32" s="285" cm="1">
        <f t="array" ref="F32">'Budgeting'!$AH$51</f>
        <v>0.858220783267181</v>
      </c>
      <c r="G32" s="266" cm="1">
        <f t="array" ref="G32">24.48-7.97</f>
        <v>16.51</v>
      </c>
      <c r="H32" t="s" s="234">
        <v>259</v>
      </c>
    </row>
    <row r="33" ht="20.2" customHeight="1">
      <c r="B33" s="304">
        <v>46156.410925925928</v>
      </c>
      <c r="C33" t="s" s="238">
        <v>225</v>
      </c>
      <c r="D33" t="s" s="238">
        <v>106</v>
      </c>
      <c r="E33" s="305" cm="1">
        <f t="array" ref="E33">G33*F33</f>
        <v>4.27393950067056</v>
      </c>
      <c r="F33" s="289" cm="1">
        <f t="array" ref="F33">'Budgeting'!$AH$51</f>
        <v>0.858220783267181</v>
      </c>
      <c r="G33" s="265">
        <v>4.98</v>
      </c>
      <c r="H33" t="s" s="238">
        <v>260</v>
      </c>
    </row>
    <row r="34" ht="20.2" customHeight="1">
      <c r="B34" s="306">
        <v>46156.008634259262</v>
      </c>
      <c r="C34" t="s" s="234">
        <v>225</v>
      </c>
      <c r="D34" t="s" s="234">
        <v>16</v>
      </c>
      <c r="E34" s="307" cm="1">
        <f t="array" ref="E34">G34*F34</f>
        <v>4.81461859412889</v>
      </c>
      <c r="F34" s="285" cm="1">
        <f t="array" ref="F34">'Budgeting'!$AH$51</f>
        <v>0.858220783267181</v>
      </c>
      <c r="G34" s="266">
        <v>5.61</v>
      </c>
      <c r="H34" s="268"/>
    </row>
    <row r="35" ht="20.2" customHeight="1">
      <c r="B35" s="304">
        <v>46156.573726851850</v>
      </c>
      <c r="C35" t="s" s="238">
        <v>261</v>
      </c>
      <c r="D35" t="s" s="238">
        <v>19</v>
      </c>
      <c r="E35" s="305" cm="1">
        <f t="array" ref="E35">G35*F35</f>
        <v>38.1221671927282</v>
      </c>
      <c r="F35" s="289" cm="1">
        <f t="array" ref="F35">'Budgeting'!$AH$51</f>
        <v>0.858220783267181</v>
      </c>
      <c r="G35" s="265">
        <v>44.42</v>
      </c>
      <c r="H35" s="267"/>
    </row>
    <row r="36" ht="20.2" customHeight="1">
      <c r="B36" s="306">
        <v>46157.423692129632</v>
      </c>
      <c r="C36" t="s" s="234">
        <v>262</v>
      </c>
      <c r="D36" t="s" s="234">
        <v>20</v>
      </c>
      <c r="E36" s="307" cm="1">
        <f t="array" ref="E36">G36*F36</f>
        <v>3.67808907114507</v>
      </c>
      <c r="F36" s="285" cm="1">
        <f t="array" ref="F36">'Budgeting'!$AH$51</f>
        <v>0.858220783267181</v>
      </c>
      <c r="G36" s="266" cm="1">
        <f t="array" ref="G36">30/7</f>
        <v>4.28571428571429</v>
      </c>
      <c r="H36" t="s" s="234">
        <v>263</v>
      </c>
    </row>
    <row r="37" ht="20.2" customHeight="1">
      <c r="B37" s="304">
        <v>46157.023009259261</v>
      </c>
      <c r="C37" t="s" s="238">
        <v>264</v>
      </c>
      <c r="D37" t="s" s="238">
        <v>106</v>
      </c>
      <c r="E37" s="305" cm="1">
        <f t="array" ref="E37">G37*F37</f>
        <v>36.0195262737236</v>
      </c>
      <c r="F37" s="289" cm="1">
        <f t="array" ref="F37">'Budgeting'!$AH$51</f>
        <v>0.858220783267181</v>
      </c>
      <c r="G37" s="265" cm="1">
        <f t="array" ref="G37">41.97</f>
        <v>41.97</v>
      </c>
      <c r="H37" t="s" s="238">
        <v>265</v>
      </c>
    </row>
    <row r="38" ht="20.2" customHeight="1">
      <c r="B38" s="306">
        <v>46157.425972222220</v>
      </c>
      <c r="C38" t="s" s="234">
        <v>266</v>
      </c>
      <c r="D38" t="s" s="234">
        <v>16</v>
      </c>
      <c r="E38" s="307" cm="1">
        <f t="array" ref="E38">G38*F38</f>
        <v>8.98557160080739</v>
      </c>
      <c r="F38" s="285" cm="1">
        <f t="array" ref="F38">'Budgeting'!$AH$51</f>
        <v>0.858220783267181</v>
      </c>
      <c r="G38" s="266">
        <v>10.47</v>
      </c>
      <c r="H38" s="268"/>
    </row>
    <row r="39" ht="20.2" customHeight="1">
      <c r="B39" s="304">
        <v>46157.42625</v>
      </c>
      <c r="C39" t="s" s="238">
        <v>267</v>
      </c>
      <c r="D39" t="s" s="238">
        <v>16</v>
      </c>
      <c r="E39" s="305" cm="1">
        <f t="array" ref="E39">G39*F39</f>
        <v>3.08101261192918</v>
      </c>
      <c r="F39" s="289" cm="1">
        <f t="array" ref="F39">'Budgeting'!$AH$51</f>
        <v>0.858220783267181</v>
      </c>
      <c r="G39" s="265" cm="1">
        <f t="array" ref="G39">25.13/7</f>
        <v>3.59</v>
      </c>
      <c r="H39" s="267"/>
    </row>
    <row r="40" ht="20.2" customHeight="1">
      <c r="B40" s="306">
        <v>46157.42625</v>
      </c>
      <c r="C40" t="s" s="234">
        <v>268</v>
      </c>
      <c r="D40" t="s" s="234">
        <v>20</v>
      </c>
      <c r="E40" s="307" cm="1">
        <f t="array" ref="E40">G40*F40</f>
        <v>30.8959481976185</v>
      </c>
      <c r="F40" s="285" cm="1">
        <f t="array" ref="F40">'Budgeting'!$AH$51</f>
        <v>0.858220783267181</v>
      </c>
      <c r="G40" s="266">
        <v>36</v>
      </c>
      <c r="H40" s="268"/>
    </row>
    <row r="41" ht="32.2" customHeight="1">
      <c r="B41" s="304">
        <v>46160.813761574071</v>
      </c>
      <c r="C41" t="s" s="238">
        <v>269</v>
      </c>
      <c r="D41" t="s" s="238">
        <v>106</v>
      </c>
      <c r="E41" s="305" cm="1">
        <f t="array" ref="E41">G41*F41</f>
        <v>31.7284223573877</v>
      </c>
      <c r="F41" s="289" cm="1">
        <f t="array" ref="F41">'Budgeting'!$AH$51</f>
        <v>0.858220783267181</v>
      </c>
      <c r="G41" s="265">
        <v>36.97</v>
      </c>
      <c r="H41" t="s" s="238">
        <v>270</v>
      </c>
    </row>
    <row r="42" ht="20.2" customHeight="1">
      <c r="B42" s="306">
        <v>46160.839826388888</v>
      </c>
      <c r="C42" t="s" s="234">
        <v>271</v>
      </c>
      <c r="D42" t="s" s="234">
        <v>106</v>
      </c>
      <c r="E42" s="307" cm="1">
        <f t="array" ref="E42">G42*F42</f>
        <v>62.3583221121934</v>
      </c>
      <c r="F42" s="285" cm="1">
        <f t="array" ref="F42">'Budgeting'!$AH$51</f>
        <v>0.858220783267181</v>
      </c>
      <c r="G42" s="266">
        <v>72.66</v>
      </c>
      <c r="H42" t="s" s="234">
        <v>272</v>
      </c>
    </row>
    <row r="43" ht="32.2" customHeight="1">
      <c r="B43" s="304">
        <v>46160.949710648150</v>
      </c>
      <c r="C43" t="s" s="238">
        <v>273</v>
      </c>
      <c r="D43" t="s" s="238">
        <v>106</v>
      </c>
      <c r="E43" s="305" cm="1">
        <f t="array" ref="E43">G43*F43</f>
        <v>32.8097805443043</v>
      </c>
      <c r="F43" s="289" cm="1">
        <f t="array" ref="F43">'Budgeting'!$AH$51</f>
        <v>0.858220783267181</v>
      </c>
      <c r="G43" s="265">
        <v>38.23</v>
      </c>
      <c r="H43" t="s" s="238">
        <v>272</v>
      </c>
    </row>
    <row r="44" ht="32.2" customHeight="1">
      <c r="B44" s="306">
        <v>46160.961099537039</v>
      </c>
      <c r="C44" t="s" s="234">
        <v>274</v>
      </c>
      <c r="D44" t="s" s="234">
        <v>106</v>
      </c>
      <c r="E44" s="307" cm="1">
        <f t="array" ref="E44">G44*F44</f>
        <v>32.8097805443043</v>
      </c>
      <c r="F44" s="285" cm="1">
        <f t="array" ref="F44">'Budgeting'!$AH$51</f>
        <v>0.858220783267181</v>
      </c>
      <c r="G44" s="266">
        <v>38.23</v>
      </c>
      <c r="H44" t="s" s="234">
        <v>272</v>
      </c>
    </row>
    <row r="45" ht="20.2" customHeight="1">
      <c r="B45" s="304">
        <v>46159.489270833335</v>
      </c>
      <c r="C45" t="s" s="238">
        <v>231</v>
      </c>
      <c r="D45" t="s" s="238">
        <v>16</v>
      </c>
      <c r="E45" s="305" cm="1">
        <f t="array" ref="E45">G45*F45</f>
        <v>38.0020162830708</v>
      </c>
      <c r="F45" s="289" cm="1">
        <f t="array" ref="F45">'Budgeting'!$AH$51</f>
        <v>0.858220783267181</v>
      </c>
      <c r="G45" s="265">
        <v>44.28</v>
      </c>
      <c r="H45" s="267"/>
    </row>
    <row r="46" ht="20.2" customHeight="1">
      <c r="B46" s="306">
        <v>46161.706493055557</v>
      </c>
      <c r="C46" t="s" s="234">
        <v>225</v>
      </c>
      <c r="D46" t="s" s="234">
        <v>16</v>
      </c>
      <c r="E46" s="307" cm="1">
        <f t="array" ref="E46">G46*F46</f>
        <v>4.82320080196156</v>
      </c>
      <c r="F46" s="285" cm="1">
        <f t="array" ref="F46">'Budgeting'!$AH$51</f>
        <v>0.858220783267181</v>
      </c>
      <c r="G46" s="266">
        <v>5.62</v>
      </c>
      <c r="H46" s="268"/>
    </row>
    <row r="47" ht="20.2" customHeight="1">
      <c r="B47" s="304">
        <v>46161.700127314813</v>
      </c>
      <c r="C47" t="s" s="238">
        <v>225</v>
      </c>
      <c r="D47" t="s" s="238">
        <v>16</v>
      </c>
      <c r="E47" s="305" cm="1">
        <f t="array" ref="E47">G47*F47</f>
        <v>12.6072633061949</v>
      </c>
      <c r="F47" s="289" cm="1">
        <f t="array" ref="F47">'Budgeting'!$AH$51</f>
        <v>0.858220783267181</v>
      </c>
      <c r="G47" s="265">
        <v>14.69</v>
      </c>
      <c r="H47" s="267"/>
    </row>
    <row r="48" ht="20.2" customHeight="1">
      <c r="B48" s="306">
        <v>46161.716180555559</v>
      </c>
      <c r="C48" t="s" s="234">
        <v>275</v>
      </c>
      <c r="D48" t="s" s="234">
        <v>106</v>
      </c>
      <c r="E48" s="307" cm="1">
        <f t="array" ref="E48">G48*F48</f>
        <v>18.0054720329455</v>
      </c>
      <c r="F48" s="285" cm="1">
        <f t="array" ref="F48">'Budgeting'!$AH$51</f>
        <v>0.858220783267181</v>
      </c>
      <c r="G48" s="266">
        <v>20.98</v>
      </c>
      <c r="H48" s="268"/>
    </row>
    <row r="49" ht="20.2" customHeight="1">
      <c r="B49" s="304">
        <v>46160.331284722219</v>
      </c>
      <c r="C49" t="s" s="238">
        <v>276</v>
      </c>
      <c r="D49" t="s" s="238">
        <v>20</v>
      </c>
      <c r="E49" s="305" cm="1">
        <f t="array" ref="E49">G49*F49</f>
        <v>82.3033731153227</v>
      </c>
      <c r="F49" s="289" cm="1">
        <f t="array" ref="F49">'Budgeting'!$AH$51</f>
        <v>0.858220783267181</v>
      </c>
      <c r="G49" s="265">
        <v>95.90000000000001</v>
      </c>
      <c r="H49" s="267"/>
    </row>
    <row r="50" ht="32.2" customHeight="1">
      <c r="B50" s="306">
        <v>46163.566192129627</v>
      </c>
      <c r="C50" t="s" s="234">
        <v>277</v>
      </c>
      <c r="D50" t="s" s="234">
        <v>19</v>
      </c>
      <c r="E50" s="307" cm="1">
        <f t="array" ref="E50">G50*F50</f>
        <v>3.64743832888552</v>
      </c>
      <c r="F50" s="285" cm="1">
        <f t="array" ref="F50">'Budgeting'!$AH$51</f>
        <v>0.858220783267181</v>
      </c>
      <c r="G50" s="266">
        <v>4.25</v>
      </c>
      <c r="H50" s="268"/>
    </row>
    <row r="51" ht="20.2" customHeight="1">
      <c r="B51" s="304">
        <v>46163.501956018517</v>
      </c>
      <c r="C51" t="s" s="238">
        <v>278</v>
      </c>
      <c r="D51" t="s" s="238">
        <v>22</v>
      </c>
      <c r="E51" s="305" cm="1">
        <f t="array" ref="E51">G51*F51</f>
        <v>31.7541689808857</v>
      </c>
      <c r="F51" s="289" cm="1">
        <f t="array" ref="F51">'Budgeting'!$AH$51</f>
        <v>0.858220783267181</v>
      </c>
      <c r="G51" s="265">
        <v>37</v>
      </c>
      <c r="H51" s="267"/>
    </row>
    <row r="52" ht="20.2" customHeight="1">
      <c r="B52" s="306">
        <v>46164.917037037034</v>
      </c>
      <c r="C52" t="s" s="234">
        <v>230</v>
      </c>
      <c r="D52" t="s" s="234">
        <v>16</v>
      </c>
      <c r="E52" s="307" cm="1">
        <f t="array" ref="E52">G52*F52</f>
        <v>51.4932469960309</v>
      </c>
      <c r="F52" s="285" cm="1">
        <f t="array" ref="F52">'Budgeting'!$AH$51</f>
        <v>0.858220783267181</v>
      </c>
      <c r="G52" s="266">
        <v>60</v>
      </c>
      <c r="H52" s="268"/>
    </row>
    <row r="53" ht="32.2" customHeight="1">
      <c r="B53" s="304">
        <v>46165.501932870371</v>
      </c>
      <c r="C53" t="s" s="238">
        <v>279</v>
      </c>
      <c r="D53" t="s" s="238">
        <v>106</v>
      </c>
      <c r="E53" s="305" cm="1">
        <f t="array" ref="E53">G53*F53</f>
        <v>41.3919883769761</v>
      </c>
      <c r="F53" s="289" cm="1">
        <f t="array" ref="F53">'Budgeting'!$AH$51</f>
        <v>0.858220783267181</v>
      </c>
      <c r="G53" s="265">
        <v>48.23</v>
      </c>
      <c r="H53" s="267"/>
    </row>
    <row r="54" ht="20.2" customHeight="1">
      <c r="B54" s="306">
        <v>46165.8331712963</v>
      </c>
      <c r="C54" t="s" s="234">
        <v>280</v>
      </c>
      <c r="D54" t="s" s="234">
        <v>14</v>
      </c>
      <c r="E54" s="307" cm="1">
        <f t="array" ref="E54">G54*F54</f>
        <v>1.8880857231878</v>
      </c>
      <c r="F54" s="285" cm="1">
        <f t="array" ref="F54">'Budgeting'!$AH$51</f>
        <v>0.858220783267181</v>
      </c>
      <c r="G54" s="266">
        <v>2.2</v>
      </c>
      <c r="H54" s="268"/>
    </row>
    <row r="55" ht="20.2" customHeight="1">
      <c r="B55" s="304">
        <v>46165.5517824074</v>
      </c>
      <c r="C55" t="s" s="238">
        <v>281</v>
      </c>
      <c r="D55" t="s" s="238">
        <v>22</v>
      </c>
      <c r="E55" s="305" cm="1">
        <f t="array" ref="E55">G55*F55</f>
        <v>1.44181091588886</v>
      </c>
      <c r="F55" s="289" cm="1">
        <f t="array" ref="F55">'Budgeting'!$AH$51</f>
        <v>0.858220783267181</v>
      </c>
      <c r="G55" s="265">
        <v>1.68</v>
      </c>
      <c r="H55" s="267"/>
    </row>
    <row r="56" ht="32.2" customHeight="1">
      <c r="B56" s="306">
        <v>46166.985856481479</v>
      </c>
      <c r="C56" t="s" s="234">
        <v>282</v>
      </c>
      <c r="D56" t="s" s="234">
        <v>106</v>
      </c>
      <c r="E56" s="307" cm="1">
        <f t="array" ref="E56">G56*F56</f>
        <v>2.54033351847086</v>
      </c>
      <c r="F56" s="285" cm="1">
        <f t="array" ref="F56">'Budgeting'!$AH$51</f>
        <v>0.858220783267181</v>
      </c>
      <c r="G56" s="266">
        <v>2.96</v>
      </c>
      <c r="H56" s="268"/>
    </row>
    <row r="57" ht="20.2" customHeight="1">
      <c r="B57" s="304">
        <v>46167.563252314816</v>
      </c>
      <c r="C57" t="s" s="238">
        <v>230</v>
      </c>
      <c r="D57" t="s" s="238">
        <v>14</v>
      </c>
      <c r="E57" s="305" cm="1">
        <f t="array" ref="E57">G57*F57</f>
        <v>3.21832793725193</v>
      </c>
      <c r="F57" s="289" cm="1">
        <f t="array" ref="F57">'Budgeting'!$AH$51</f>
        <v>0.858220783267181</v>
      </c>
      <c r="G57" s="265">
        <v>3.75</v>
      </c>
      <c r="H57" s="267"/>
    </row>
    <row r="58" ht="20.2" customHeight="1">
      <c r="B58" s="306">
        <v>46167.521168981482</v>
      </c>
      <c r="C58" t="s" s="234">
        <v>283</v>
      </c>
      <c r="D58" t="s" s="234">
        <v>22</v>
      </c>
      <c r="E58" s="307" cm="1">
        <f t="array" ref="E58">G58*F58</f>
        <v>8.582207832671809</v>
      </c>
      <c r="F58" s="285" cm="1">
        <f t="array" ref="F58">'Budgeting'!$AH$51</f>
        <v>0.858220783267181</v>
      </c>
      <c r="G58" s="266">
        <v>10</v>
      </c>
      <c r="H58" s="268"/>
    </row>
    <row r="59" ht="20.2" customHeight="1">
      <c r="B59" s="304">
        <v>46167.901053240741</v>
      </c>
      <c r="C59" t="s" s="238">
        <v>284</v>
      </c>
      <c r="D59" t="s" s="238">
        <v>14</v>
      </c>
      <c r="E59" s="305" cm="1">
        <f t="array" ref="E59">G59*F59</f>
        <v>8.582207832671809</v>
      </c>
      <c r="F59" s="289" cm="1">
        <f t="array" ref="F59">'Budgeting'!$AH$51</f>
        <v>0.858220783267181</v>
      </c>
      <c r="G59" s="265">
        <v>10</v>
      </c>
      <c r="H59" s="267"/>
    </row>
    <row r="60" ht="32.2" customHeight="1">
      <c r="B60" s="306">
        <v>46167.901643518519</v>
      </c>
      <c r="C60" t="s" s="234">
        <v>285</v>
      </c>
      <c r="D60" t="s" s="234">
        <v>22</v>
      </c>
      <c r="E60" s="307" cm="1">
        <f t="array" ref="E60">G60*F60</f>
        <v>10.015436540728</v>
      </c>
      <c r="F60" s="285" cm="1">
        <f t="array" ref="F60">'Budgeting'!$AH$51</f>
        <v>0.858220783267181</v>
      </c>
      <c r="G60" s="266">
        <v>11.67</v>
      </c>
      <c r="H60" s="268"/>
    </row>
    <row r="61" ht="32.2" customHeight="1">
      <c r="B61" s="304">
        <v>46167.975</v>
      </c>
      <c r="C61" t="s" s="238">
        <v>286</v>
      </c>
      <c r="D61" t="s" s="238">
        <v>22</v>
      </c>
      <c r="E61" s="305" cm="1">
        <f t="array" ref="E61">G61*F61</f>
        <v>8.21317289586692</v>
      </c>
      <c r="F61" s="289" cm="1">
        <f t="array" ref="F61">'Budgeting'!$AH$51</f>
        <v>0.858220783267181</v>
      </c>
      <c r="G61" s="265">
        <v>9.57</v>
      </c>
      <c r="H61" s="267"/>
    </row>
    <row r="62" ht="20.2" customHeight="1">
      <c r="B62" s="306">
        <v>46168.845011574071</v>
      </c>
      <c r="C62" t="s" s="234">
        <v>225</v>
      </c>
      <c r="D62" t="s" s="234">
        <v>14</v>
      </c>
      <c r="E62" s="307" cm="1">
        <f t="array" ref="E62">G62*F62</f>
        <v>7.84413795906203</v>
      </c>
      <c r="F62" s="285" cm="1">
        <f t="array" ref="F62">'Budgeting'!$AH$51</f>
        <v>0.858220783267181</v>
      </c>
      <c r="G62" s="266">
        <v>9.140000000000001</v>
      </c>
      <c r="H62" s="268"/>
    </row>
    <row r="63" ht="32.2" customHeight="1">
      <c r="B63" s="304">
        <v>46169.381053240744</v>
      </c>
      <c r="C63" t="s" s="238">
        <v>287</v>
      </c>
      <c r="D63" t="s" s="238">
        <v>14</v>
      </c>
      <c r="E63" s="305" cm="1">
        <f t="array" ref="E63">G63*F63</f>
        <v>4.15378859101316</v>
      </c>
      <c r="F63" s="289" cm="1">
        <f t="array" ref="F63">'Budgeting'!$AH$51</f>
        <v>0.858220783267181</v>
      </c>
      <c r="G63" s="265">
        <v>4.84</v>
      </c>
      <c r="H63" s="267"/>
    </row>
    <row r="64" ht="20.2" customHeight="1">
      <c r="B64" s="306">
        <v>46168.841793981483</v>
      </c>
      <c r="C64" t="s" s="234">
        <v>225</v>
      </c>
      <c r="D64" t="s" s="234">
        <v>16</v>
      </c>
      <c r="E64" s="307" cm="1">
        <f t="array" ref="E64">G64*F64</f>
        <v>14.5640066920441</v>
      </c>
      <c r="F64" s="285" cm="1">
        <f t="array" ref="F64">'Budgeting'!$AH$51</f>
        <v>0.858220783267181</v>
      </c>
      <c r="G64" s="266">
        <v>16.97</v>
      </c>
      <c r="H64" s="268"/>
    </row>
    <row r="65" ht="20.2" customHeight="1">
      <c r="B65" s="304">
        <v>46170.934143518520</v>
      </c>
      <c r="C65" t="s" s="238">
        <v>288</v>
      </c>
      <c r="D65" t="s" s="238">
        <v>106</v>
      </c>
      <c r="E65" s="305" cm="1">
        <f t="array" ref="E65">G65*F65</f>
        <v>171.644156653436</v>
      </c>
      <c r="F65" s="289" cm="1">
        <f t="array" ref="F65">'Budgeting'!$AH$51</f>
        <v>0.858220783267181</v>
      </c>
      <c r="G65" s="265">
        <v>200</v>
      </c>
      <c r="H65" s="267"/>
    </row>
    <row r="66" ht="20.2" customHeight="1">
      <c r="B66" s="306">
        <v>46170.514074074075</v>
      </c>
      <c r="C66" t="s" s="234">
        <v>289</v>
      </c>
      <c r="D66" t="s" s="234">
        <v>14</v>
      </c>
      <c r="E66" s="307" cm="1">
        <f t="array" ref="E66">G66*F66</f>
        <v>21.103649060540</v>
      </c>
      <c r="F66" s="285" cm="1">
        <f t="array" ref="F66">'Budgeting'!$AH$51</f>
        <v>0.858220783267181</v>
      </c>
      <c r="G66" s="266">
        <v>24.59</v>
      </c>
      <c r="H66" s="268"/>
    </row>
    <row r="67" ht="20.2" customHeight="1">
      <c r="B67" s="304">
        <v>46170.679143518515</v>
      </c>
      <c r="C67" t="s" s="238">
        <v>290</v>
      </c>
      <c r="D67" t="s" s="238">
        <v>20</v>
      </c>
      <c r="E67" s="305" cm="1">
        <f t="array" ref="E67">G67*F67</f>
        <v>10.9423149866566</v>
      </c>
      <c r="F67" s="289" cm="1">
        <f t="array" ref="F67">'Budgeting'!$AH$51</f>
        <v>0.858220783267181</v>
      </c>
      <c r="G67" s="265" cm="1">
        <f t="array" ref="G67">0.5*25.5</f>
        <v>12.75</v>
      </c>
      <c r="H67" s="267"/>
    </row>
    <row r="68" ht="20.2" customHeight="1">
      <c r="B68" s="306">
        <v>46171.553900462961</v>
      </c>
      <c r="C68" t="s" s="234">
        <v>180</v>
      </c>
      <c r="D68" t="s" s="234">
        <v>14</v>
      </c>
      <c r="E68" s="307" cm="1">
        <f t="array" ref="E68">G68*F68</f>
        <v>2.78921754561834</v>
      </c>
      <c r="F68" s="285" cm="1">
        <f t="array" ref="F68">'Budgeting'!$AH$51</f>
        <v>0.858220783267181</v>
      </c>
      <c r="G68" s="266">
        <v>3.25</v>
      </c>
      <c r="H68" s="268"/>
    </row>
    <row r="69" ht="20.2" customHeight="1">
      <c r="B69" s="304">
        <v>46170.889699074076</v>
      </c>
      <c r="C69" t="s" s="238">
        <v>291</v>
      </c>
      <c r="D69" t="s" s="238">
        <v>20</v>
      </c>
      <c r="E69" s="305" cm="1">
        <f t="array" ref="E69">G69*F69</f>
        <v>1.75935260569772</v>
      </c>
      <c r="F69" s="289" cm="1">
        <f t="array" ref="F69">'Budgeting'!$AH$51</f>
        <v>0.858220783267181</v>
      </c>
      <c r="G69" s="265">
        <v>2.05</v>
      </c>
      <c r="H69" s="267"/>
    </row>
    <row r="70" ht="20.2" customHeight="1">
      <c r="B70" s="306">
        <v>46170.953831018516</v>
      </c>
      <c r="C70" t="s" s="234">
        <v>292</v>
      </c>
      <c r="D70" t="s" s="234">
        <v>14</v>
      </c>
      <c r="E70" s="307" cm="1">
        <f t="array" ref="E70">G70*F70</f>
        <v>5.78869918313714</v>
      </c>
      <c r="F70" s="285" cm="1">
        <f t="array" ref="F70">'Budgeting'!$AH$51</f>
        <v>0.858220783267181</v>
      </c>
      <c r="G70" s="266" cm="1">
        <f t="array" ref="G70">0.5*13.49</f>
        <v>6.745</v>
      </c>
      <c r="H70" s="268"/>
    </row>
    <row r="71" ht="20.2" customHeight="1">
      <c r="B71" s="304">
        <v>46171.428634259260</v>
      </c>
      <c r="C71" t="s" s="238">
        <v>293</v>
      </c>
      <c r="D71" t="s" s="238">
        <v>20</v>
      </c>
      <c r="E71" s="305" cm="1">
        <f t="array" ref="E71">G71*F71</f>
        <v>30.0377274143513</v>
      </c>
      <c r="F71" s="289" cm="1">
        <f t="array" ref="F71">'Budgeting'!$AH$51</f>
        <v>0.858220783267181</v>
      </c>
      <c r="G71" s="265">
        <v>35</v>
      </c>
      <c r="H71" s="267"/>
    </row>
    <row r="72" ht="20.2" customHeight="1">
      <c r="B72" s="306">
        <v>46171.735983796294</v>
      </c>
      <c r="C72" t="s" s="234">
        <v>294</v>
      </c>
      <c r="D72" t="s" s="234">
        <v>22</v>
      </c>
      <c r="E72" s="307" cm="1">
        <f t="array" ref="E72">G72*F72</f>
        <v>13.937505520259</v>
      </c>
      <c r="F72" s="285" cm="1">
        <f t="array" ref="F72">'Budgeting'!$AH$51</f>
        <v>0.858220783267181</v>
      </c>
      <c r="G72" s="266">
        <v>16.24</v>
      </c>
      <c r="H72" s="268"/>
    </row>
    <row r="73" ht="20.2" customHeight="1">
      <c r="B73" s="304">
        <v>46171.543865740743</v>
      </c>
      <c r="C73" t="s" s="238">
        <v>295</v>
      </c>
      <c r="D73" t="s" s="238">
        <v>14</v>
      </c>
      <c r="E73" s="305" cm="1">
        <f t="array" ref="E73">G73*F73</f>
        <v>16.8769117029491</v>
      </c>
      <c r="F73" s="289" cm="1">
        <f t="array" ref="F73">'Budgeting'!$AH$51</f>
        <v>0.858220783267181</v>
      </c>
      <c r="G73" s="265" cm="1">
        <f t="array" ref="G73">0.5*39.33</f>
        <v>19.665</v>
      </c>
      <c r="H73" s="267"/>
    </row>
    <row r="74" ht="20.2" customHeight="1">
      <c r="B74" s="306">
        <v>46171.848506944443</v>
      </c>
      <c r="C74" t="s" s="234">
        <v>296</v>
      </c>
      <c r="D74" t="s" s="234">
        <v>14</v>
      </c>
      <c r="E74" s="307" cm="1">
        <f t="array" ref="E74">G74*F74</f>
        <v>15.3621520204825</v>
      </c>
      <c r="F74" s="285" cm="1">
        <f t="array" ref="F74">'Budgeting'!$AH$51</f>
        <v>0.858220783267181</v>
      </c>
      <c r="G74" s="266" cm="1">
        <f t="array" ref="G74">0.5*35.8</f>
        <v>17.9</v>
      </c>
      <c r="H74" s="268"/>
    </row>
    <row r="75" ht="20.2" customHeight="1">
      <c r="B75" s="304">
        <v>46172.872129629628</v>
      </c>
      <c r="C75" t="s" s="238">
        <v>196</v>
      </c>
      <c r="D75" t="s" s="238">
        <v>20</v>
      </c>
      <c r="E75" s="305" cm="1">
        <f t="array" ref="E75">G75*F75</f>
        <v>5.08495814085805</v>
      </c>
      <c r="F75" s="289" cm="1">
        <f t="array" ref="F75">'Budgeting'!$AH$51</f>
        <v>0.858220783267181</v>
      </c>
      <c r="G75" s="265" cm="1">
        <f t="array" ref="G75">0.5*11.85</f>
        <v>5.925</v>
      </c>
      <c r="H75" s="267"/>
    </row>
    <row r="76" ht="20.2" customHeight="1">
      <c r="B76" s="306">
        <v>46172.887164351851</v>
      </c>
      <c r="C76" t="s" s="234">
        <v>196</v>
      </c>
      <c r="D76" t="s" s="234">
        <v>20</v>
      </c>
      <c r="E76" s="307" cm="1">
        <f t="array" ref="E76">G76*F76</f>
        <v>0.858220783267181</v>
      </c>
      <c r="F76" s="285" cm="1">
        <f t="array" ref="F76">'Budgeting'!$AH$51</f>
        <v>0.858220783267181</v>
      </c>
      <c r="G76" s="266">
        <v>1</v>
      </c>
      <c r="H76" s="268"/>
    </row>
    <row r="77" ht="20.2" customHeight="1">
      <c r="B77" s="304">
        <v>46172.941481481481</v>
      </c>
      <c r="C77" t="s" s="238">
        <v>297</v>
      </c>
      <c r="D77" t="s" s="238">
        <v>14</v>
      </c>
      <c r="E77" s="305" cm="1">
        <f t="array" ref="E77">G77*F77</f>
        <v>42.9110391633591</v>
      </c>
      <c r="F77" s="289" cm="1">
        <f t="array" ref="F77">'Budgeting'!$AH$51</f>
        <v>0.858220783267181</v>
      </c>
      <c r="G77" s="265" cm="1">
        <f t="array" ref="G77">0.5*100</f>
        <v>50</v>
      </c>
      <c r="H77" s="267"/>
    </row>
    <row r="78" ht="20.2" customHeight="1">
      <c r="B78" s="306">
        <v>46172.947129629632</v>
      </c>
      <c r="C78" t="s" s="234">
        <v>298</v>
      </c>
      <c r="D78" t="s" s="234">
        <v>20</v>
      </c>
      <c r="E78" s="307" cm="1">
        <f t="array" ref="E78">G78*F78</f>
        <v>6.86576626613745</v>
      </c>
      <c r="F78" s="285" cm="1">
        <f t="array" ref="F78">'Budgeting'!$AH$51</f>
        <v>0.858220783267181</v>
      </c>
      <c r="G78" s="266">
        <v>8</v>
      </c>
      <c r="H78" s="268"/>
    </row>
    <row r="79" ht="20.2" customHeight="1">
      <c r="B79" s="304">
        <v>46173.939166666663</v>
      </c>
      <c r="C79" t="s" s="238">
        <v>299</v>
      </c>
      <c r="D79" t="s" s="238">
        <v>20</v>
      </c>
      <c r="E79" s="305" cm="1">
        <f t="array" ref="E79">G79*F79</f>
        <v>10.9423149866566</v>
      </c>
      <c r="F79" s="289" cm="1">
        <f t="array" ref="F79">'Budgeting'!$AH$51</f>
        <v>0.858220783267181</v>
      </c>
      <c r="G79" s="265" cm="1">
        <f t="array" ref="G79">0.5*25.5</f>
        <v>12.75</v>
      </c>
      <c r="H79" s="267"/>
    </row>
    <row r="80" ht="20.2" customHeight="1">
      <c r="B80" s="306">
        <v>46173.834027777775</v>
      </c>
      <c r="C80" t="s" s="234">
        <v>300</v>
      </c>
      <c r="D80" t="s" s="234">
        <v>14</v>
      </c>
      <c r="E80" s="307" cm="1">
        <f t="array" ref="E80">G80*F80</f>
        <v>13.5427239599561</v>
      </c>
      <c r="F80" s="285" cm="1">
        <f t="array" ref="F80">'Budgeting'!$AH$51</f>
        <v>0.858220783267181</v>
      </c>
      <c r="G80" s="266" cm="1">
        <f t="array" ref="G80">0.5*31.56</f>
        <v>15.78</v>
      </c>
      <c r="H80" s="268"/>
    </row>
    <row r="81" ht="20.2" customHeight="1">
      <c r="B81" s="304">
        <v>46173.7529050926</v>
      </c>
      <c r="C81" t="s" s="238">
        <v>291</v>
      </c>
      <c r="D81" t="s" s="238">
        <v>20</v>
      </c>
      <c r="E81" s="305" cm="1">
        <f t="array" ref="E81">G81*F81</f>
        <v>10.1270052425527</v>
      </c>
      <c r="F81" s="289" cm="1">
        <f t="array" ref="F81">'Budgeting'!$AH$51</f>
        <v>0.858220783267181</v>
      </c>
      <c r="G81" s="265">
        <v>11.8</v>
      </c>
      <c r="H81" s="267"/>
    </row>
    <row r="82" ht="20.2" customHeight="1">
      <c r="B82" s="306">
        <v>46173.633252314816</v>
      </c>
      <c r="C82" t="s" s="234">
        <v>301</v>
      </c>
      <c r="D82" t="s" s="234">
        <v>14</v>
      </c>
      <c r="E82" s="307" cm="1">
        <f t="array" ref="E82">G82*F82</f>
        <v>6.75848866822905</v>
      </c>
      <c r="F82" s="285" cm="1">
        <f t="array" ref="F82">'Budgeting'!$AH$51</f>
        <v>0.858220783267181</v>
      </c>
      <c r="G82" s="266" cm="1">
        <f t="array" ref="G82">0.5*15.75</f>
        <v>7.875</v>
      </c>
      <c r="H82" s="268"/>
    </row>
    <row r="83" ht="20.2" customHeight="1">
      <c r="B83" s="263">
        <v>46172</v>
      </c>
      <c r="C83" t="s" s="237">
        <v>302</v>
      </c>
      <c r="D83" t="s" s="238">
        <v>22</v>
      </c>
      <c r="E83" s="278">
        <v>0.5</v>
      </c>
      <c r="F83" s="289" cm="1">
        <f t="array" ref="F83">'Budgeting'!$AH$51</f>
        <v>0.858220783267181</v>
      </c>
      <c r="G83" s="267"/>
      <c r="H83" s="267"/>
    </row>
    <row r="84" ht="20.2" customHeight="1">
      <c r="B84" s="261">
        <v>46170</v>
      </c>
      <c r="C84" t="s" s="233">
        <v>303</v>
      </c>
      <c r="D84" t="s" s="234">
        <v>105</v>
      </c>
      <c r="E84" s="275">
        <v>838</v>
      </c>
      <c r="F84" s="285" cm="1">
        <f t="array" ref="F84">'Budgeting'!$AH$51</f>
        <v>0.858220783267181</v>
      </c>
      <c r="G84" s="268"/>
      <c r="H84" s="268"/>
    </row>
    <row r="85" ht="20.2" customHeight="1">
      <c r="B85" s="263">
        <v>46166</v>
      </c>
      <c r="C85" t="s" s="237">
        <v>304</v>
      </c>
      <c r="D85" t="s" s="238">
        <v>20</v>
      </c>
      <c r="E85" s="278">
        <v>89.98999999999999</v>
      </c>
      <c r="F85" s="289" cm="1">
        <f t="array" ref="F85">'Budgeting'!$AH$51</f>
        <v>0.858220783267181</v>
      </c>
      <c r="G85" s="267"/>
      <c r="H85" s="267"/>
    </row>
    <row r="86" ht="20.2" customHeight="1">
      <c r="B86" s="261">
        <v>46164</v>
      </c>
      <c r="C86" t="s" s="233">
        <v>27</v>
      </c>
      <c r="D86" t="s" s="234">
        <v>86</v>
      </c>
      <c r="E86" s="275">
        <v>20.99</v>
      </c>
      <c r="F86" s="285" cm="1">
        <f t="array" ref="F86">'Budgeting'!$AH$51</f>
        <v>0.858220783267181</v>
      </c>
      <c r="G86" s="268"/>
      <c r="H86" s="268"/>
    </row>
    <row r="87" ht="20.2" customHeight="1">
      <c r="B87" s="263">
        <v>46161</v>
      </c>
      <c r="C87" t="s" s="237">
        <v>121</v>
      </c>
      <c r="D87" t="s" s="238">
        <v>86</v>
      </c>
      <c r="E87" s="278">
        <v>5</v>
      </c>
      <c r="F87" s="289" cm="1">
        <f t="array" ref="F87">'Budgeting'!$AH$51</f>
        <v>0.858220783267181</v>
      </c>
      <c r="G87" s="267"/>
      <c r="H87" s="267"/>
    </row>
    <row r="88" ht="20.2" customHeight="1">
      <c r="B88" s="261">
        <v>46158</v>
      </c>
      <c r="C88" t="s" s="233">
        <v>305</v>
      </c>
      <c r="D88" t="s" s="234">
        <v>20</v>
      </c>
      <c r="E88" s="275" cm="1">
        <f t="array" ref="E88">31.57/7</f>
        <v>4.51</v>
      </c>
      <c r="F88" s="285" cm="1">
        <f t="array" ref="F88">'Budgeting'!$AH$51</f>
        <v>0.858220783267181</v>
      </c>
      <c r="G88" s="268"/>
      <c r="H88" s="268"/>
    </row>
    <row r="89" ht="20.2" customHeight="1">
      <c r="B89" s="263">
        <v>46158</v>
      </c>
      <c r="C89" t="s" s="237">
        <v>305</v>
      </c>
      <c r="D89" t="s" s="238">
        <v>20</v>
      </c>
      <c r="E89" s="308" cm="1">
        <f t="array" ref="E89">61.2/7</f>
        <v>8.74285714285714</v>
      </c>
      <c r="F89" s="289" cm="1">
        <f t="array" ref="F89">'Budgeting'!$AH$51</f>
        <v>0.858220783267181</v>
      </c>
      <c r="G89" s="267"/>
      <c r="H89" s="267"/>
    </row>
    <row r="90" ht="20.2" customHeight="1">
      <c r="B90" s="261">
        <v>46158</v>
      </c>
      <c r="C90" t="s" s="233">
        <v>305</v>
      </c>
      <c r="D90" t="s" s="234">
        <v>20</v>
      </c>
      <c r="E90" s="309" cm="1">
        <f t="array" ref="E90">42.36/7</f>
        <v>6.05142857142857</v>
      </c>
      <c r="F90" s="285" cm="1">
        <f t="array" ref="F90">'Budgeting'!$AH$51</f>
        <v>0.858220783267181</v>
      </c>
      <c r="G90" s="268"/>
      <c r="H90" s="268"/>
    </row>
    <row r="91" ht="20.2" customHeight="1">
      <c r="B91" s="263">
        <v>46156</v>
      </c>
      <c r="C91" t="s" s="237">
        <v>306</v>
      </c>
      <c r="D91" t="s" s="238">
        <v>86</v>
      </c>
      <c r="E91" s="278">
        <v>2.89</v>
      </c>
      <c r="F91" s="289" cm="1">
        <f t="array" ref="F91">'Budgeting'!$AH$51</f>
        <v>0.858220783267181</v>
      </c>
      <c r="G91" s="267"/>
      <c r="H91" s="267"/>
    </row>
    <row r="92" ht="20.2" customHeight="1">
      <c r="B92" s="261">
        <v>46155</v>
      </c>
      <c r="C92" t="s" s="233">
        <v>304</v>
      </c>
      <c r="D92" t="s" s="234">
        <v>20</v>
      </c>
      <c r="E92" s="275" cm="1">
        <f t="array" ref="E92">330.63/2</f>
        <v>165.315</v>
      </c>
      <c r="F92" s="285" cm="1">
        <f t="array" ref="F92">'Budgeting'!$AH$51</f>
        <v>0.858220783267181</v>
      </c>
      <c r="G92" s="268"/>
      <c r="H92" s="268"/>
    </row>
    <row r="93" ht="20.2" customHeight="1">
      <c r="B93" s="263">
        <v>46155</v>
      </c>
      <c r="C93" t="s" s="237">
        <v>304</v>
      </c>
      <c r="D93" t="s" s="238">
        <v>20</v>
      </c>
      <c r="E93" s="278" cm="1">
        <f t="array" ref="E93">173/2</f>
        <v>86.5</v>
      </c>
      <c r="F93" s="289" cm="1">
        <f t="array" ref="F93">'Budgeting'!$AH$51</f>
        <v>0.858220783267181</v>
      </c>
      <c r="G93" s="267"/>
      <c r="H93" s="267"/>
    </row>
    <row r="94" ht="20.2" customHeight="1">
      <c r="B94" s="261"/>
      <c r="C94" t="s" s="233">
        <v>307</v>
      </c>
      <c r="D94" t="s" s="234">
        <v>17</v>
      </c>
      <c r="E94" s="275">
        <v>34.3</v>
      </c>
      <c r="F94" s="285" cm="1">
        <f t="array" ref="F94">'Budgeting'!$AH$51</f>
        <v>0.858220783267181</v>
      </c>
      <c r="G94" s="268"/>
      <c r="H94" s="268"/>
    </row>
    <row r="95" ht="20.2" customHeight="1">
      <c r="B95" s="263"/>
      <c r="C95" s="310"/>
      <c r="D95" s="238"/>
      <c r="E95" s="293"/>
      <c r="F95" s="289"/>
      <c r="G95" s="267"/>
      <c r="H95" s="267"/>
    </row>
    <row r="96" ht="20.2" customHeight="1">
      <c r="B96" s="261"/>
      <c r="C96" s="311"/>
      <c r="D96" s="234"/>
      <c r="E96" s="292"/>
      <c r="F96" s="285"/>
      <c r="G96" s="268"/>
      <c r="H96" s="268"/>
    </row>
    <row r="98" ht="27.65" customHeight="1">
      <c r="I98" t="s" s="2">
        <v>107</v>
      </c>
      <c r="J98" s="2"/>
      <c r="K98" s="2"/>
      <c r="L98" s="2"/>
    </row>
    <row r="99" ht="23.65" customHeight="1">
      <c r="I99" t="s" s="225">
        <v>81</v>
      </c>
      <c r="J99" t="s" s="226">
        <v>108</v>
      </c>
      <c r="K99" t="s" s="226">
        <v>2</v>
      </c>
      <c r="L99" t="s" s="245">
        <v>109</v>
      </c>
    </row>
    <row r="100" ht="20.45" customHeight="1">
      <c r="I100" t="s" s="246">
        <v>14</v>
      </c>
      <c r="J100" s="247" cm="1">
        <f t="array" ref="J100">'Budgeting'!F3</f>
        <v>139.2</v>
      </c>
      <c r="K100" s="248" cm="1">
        <f t="array" ref="K100">SUMIF(D3:D96,$I100,E3:E96)</f>
        <v>220.412552662594</v>
      </c>
      <c r="L100" s="248" cm="1">
        <f t="array" ref="L100">J100-K100</f>
        <v>-81.21255266259401</v>
      </c>
    </row>
    <row r="101" ht="20.2" customHeight="1">
      <c r="I101" t="s" s="249">
        <v>15</v>
      </c>
      <c r="J101" s="250" cm="1">
        <f t="array" ref="J101">'Budgeting'!F4</f>
        <v>100</v>
      </c>
      <c r="K101" s="241" cm="1">
        <f t="array" ref="K101">SUMIF(D3:D96,$I101,E3:E96)</f>
        <v>85.8220783267181</v>
      </c>
      <c r="L101" s="241" cm="1">
        <f t="array" ref="L101">J101-K101</f>
        <v>14.1779216732819</v>
      </c>
    </row>
    <row r="102" ht="20.2" customHeight="1">
      <c r="I102" t="s" s="249">
        <v>16</v>
      </c>
      <c r="J102" s="250" cm="1">
        <f t="array" ref="J102">'Budgeting'!F5</f>
        <v>287.1</v>
      </c>
      <c r="K102" s="243" cm="1">
        <f t="array" ref="K102">SUMIF(D3:D96,$I102,E3:E96)</f>
        <v>249.047089096303</v>
      </c>
      <c r="L102" s="243" cm="1">
        <f t="array" ref="L102">J102-K102</f>
        <v>38.052910903697</v>
      </c>
    </row>
    <row r="103" ht="20.2" customHeight="1">
      <c r="I103" t="s" s="249">
        <v>17</v>
      </c>
      <c r="J103" s="250" cm="1">
        <f t="array" ref="J103">'Budgeting'!F6</f>
        <v>1600</v>
      </c>
      <c r="K103" s="241" cm="1">
        <f t="array" ref="K103">SUMIF(D3:D96,$I103,E3:E96)</f>
        <v>1630.590656876960</v>
      </c>
      <c r="L103" s="241" cm="1">
        <f t="array" ref="L103">J103-K103</f>
        <v>-30.590656876960</v>
      </c>
    </row>
    <row r="104" ht="20.2" customHeight="1">
      <c r="I104" t="s" s="249">
        <v>18</v>
      </c>
      <c r="J104" s="250" cm="1">
        <f t="array" ref="J104">'Budgeting'!F7</f>
        <v>0</v>
      </c>
      <c r="K104" s="243" cm="1">
        <f t="array" ref="K104">SUMIF(D3:D96,$I104,E3:E96)</f>
        <v>0</v>
      </c>
      <c r="L104" s="243" cm="1">
        <f t="array" ref="L104">J104-K104</f>
        <v>0</v>
      </c>
    </row>
    <row r="105" ht="20.2" customHeight="1">
      <c r="I105" t="s" s="249">
        <v>19</v>
      </c>
      <c r="J105" s="250" cm="1">
        <f t="array" ref="J105">'Budgeting'!F8</f>
        <v>0</v>
      </c>
      <c r="K105" s="241" cm="1">
        <f t="array" ref="K105">SUMIF(D3:D96,$I105,E3:E96)</f>
        <v>145.640066920441</v>
      </c>
      <c r="L105" s="241" cm="1">
        <f t="array" ref="L105">J105-K105</f>
        <v>-145.640066920441</v>
      </c>
    </row>
    <row r="106" ht="20.2" customHeight="1">
      <c r="I106" t="s" s="249">
        <v>20</v>
      </c>
      <c r="J106" s="250" cm="1">
        <f t="array" ref="J106">'Budgeting'!F9</f>
        <v>278.4</v>
      </c>
      <c r="K106" s="243" cm="1">
        <f t="array" ref="K106">SUMIF(D3:D96,$I106,E3:E96)</f>
        <v>730.539617094322</v>
      </c>
      <c r="L106" s="243" cm="1">
        <f t="array" ref="L106">J106-K106</f>
        <v>-452.139617094322</v>
      </c>
    </row>
    <row r="107" ht="20.2" customHeight="1">
      <c r="I107" t="s" s="249">
        <v>86</v>
      </c>
      <c r="J107" s="250" cm="1">
        <f t="array" ref="J107">'Budgeting'!F10</f>
        <v>81.78</v>
      </c>
      <c r="K107" s="241" cm="1">
        <f t="array" ref="K107">SUMIF(D3:D96,$I107,E3:E96)</f>
        <v>46.0444156653436</v>
      </c>
      <c r="L107" s="241" cm="1">
        <f t="array" ref="L107">J107-K107</f>
        <v>35.7355843346564</v>
      </c>
    </row>
    <row r="108" ht="20.2" customHeight="1">
      <c r="I108" t="s" s="249">
        <v>22</v>
      </c>
      <c r="J108" s="250" cm="1">
        <f t="array" ref="J108">'Budgeting'!F11</f>
        <v>87</v>
      </c>
      <c r="K108" s="243" cm="1">
        <f t="array" ref="K108">SUMIF(D3:D96,$I108,E3:E96)</f>
        <v>119.976582180739</v>
      </c>
      <c r="L108" s="243" cm="1">
        <f t="array" ref="L108">J108-K108</f>
        <v>-32.976582180739</v>
      </c>
    </row>
    <row r="109" ht="20.45" customHeight="1">
      <c r="I109" t="s" s="251">
        <v>23</v>
      </c>
      <c r="J109" s="252" cm="1">
        <f t="array" ref="J109">'Budgeting'!F12</f>
        <v>0</v>
      </c>
      <c r="K109" s="257" cm="1">
        <f t="array" ref="K109">SUMIF(D3:D96,$I109,E3:E96)</f>
        <v>0</v>
      </c>
      <c r="L109" s="257" cm="1">
        <f t="array" ref="L109">J109-K109</f>
        <v>0</v>
      </c>
    </row>
    <row r="110" ht="20.45" customHeight="1">
      <c r="I110" t="s" s="254">
        <v>24</v>
      </c>
      <c r="J110" s="255" cm="1">
        <f t="array" ref="J110">SUM(J100:J109)</f>
        <v>2573.48</v>
      </c>
      <c r="K110" s="255" cm="1">
        <f t="array" ref="K110">SUM(K100:K109)</f>
        <v>3228.073058823420</v>
      </c>
      <c r="L110" s="255" cm="1">
        <f t="array" ref="L110">J110-K110</f>
        <v>-654.5930588234201</v>
      </c>
    </row>
    <row r="112" ht="27.65" customHeight="1">
      <c r="M112" t="s" s="2">
        <v>110</v>
      </c>
      <c r="N112" s="2"/>
      <c r="O112" s="2"/>
      <c r="P112" s="2"/>
    </row>
    <row r="113" ht="23.65" customHeight="1">
      <c r="M113" t="s" s="225">
        <v>81</v>
      </c>
      <c r="N113" t="s" s="226">
        <v>108</v>
      </c>
      <c r="O113" t="s" s="226">
        <v>2</v>
      </c>
      <c r="P113" t="s" s="245">
        <v>109</v>
      </c>
    </row>
    <row r="114" ht="20.45" customHeight="1">
      <c r="M114" t="s" s="246">
        <v>105</v>
      </c>
      <c r="N114" s="247">
        <v>0</v>
      </c>
      <c r="O114" s="248" cm="1">
        <f t="array" ref="O114">SUMIF(D3:D96,$M114,E3:E96)</f>
        <v>838</v>
      </c>
      <c r="P114" s="248" cm="1">
        <f t="array" ref="P114">O114-N114</f>
        <v>838</v>
      </c>
    </row>
    <row r="115" ht="20.45" customHeight="1">
      <c r="M115" t="s" s="251">
        <v>102</v>
      </c>
      <c r="N115" s="252">
        <v>0</v>
      </c>
      <c r="O115" s="257" cm="1">
        <f t="array" ref="O115">SUMIF(D3:D96,$M115,E3:E96)</f>
        <v>0</v>
      </c>
      <c r="P115" s="257" cm="1">
        <f t="array" ref="P115">O115+N115</f>
        <v>0</v>
      </c>
    </row>
    <row r="116" ht="20.45" customHeight="1">
      <c r="M116" t="s" s="254">
        <v>24</v>
      </c>
      <c r="N116" s="255" cm="1">
        <f t="array" ref="N116">SUM(N114:N115)</f>
        <v>0</v>
      </c>
      <c r="O116" s="255" cm="1">
        <f t="array" ref="O116">SUM(O114:O115)</f>
        <v>838</v>
      </c>
      <c r="P116" s="255" cm="1">
        <f t="array" ref="P116">O116-N$116</f>
        <v>838</v>
      </c>
    </row>
  </sheetData>
  <mergeCells count="2">
    <mergeCell ref="I98:L98"/>
    <mergeCell ref="M112:P112"/>
  </mergeCells>
  <dataValidations count="1">
    <dataValidation type="list" allowBlank="1" showInputMessage="1" showErrorMessage="1" sqref="D3:D94">
      <formula1>"Restaurant,Entertainment,Travel &amp; auto,Utilities &amp; subscriptions,Sport &amp; activities,Food,Home,Medical,Personal Items,Other, ,Salary,Other/donations"</formula1>
    </dataValidation>
  </dataValidations>
  <hyperlinks>
    <hyperlink ref="C91" r:id="rId1" location="" tooltip="" display="Help.discoveryplus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2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B2:P96"/>
  <sheetViews>
    <sheetView workbookViewId="0" showGridLines="0" defaultGridColor="1"/>
  </sheetViews>
  <sheetFormatPr defaultColWidth="10.8333" defaultRowHeight="19.9" customHeight="1" outlineLevelRow="0" outlineLevelCol="0"/>
  <cols>
    <col min="1" max="1" width="92.5078" style="314" customWidth="1"/>
    <col min="2" max="2" width="10.8359" style="314" customWidth="1"/>
    <col min="3" max="3" width="31.2266" style="314" customWidth="1"/>
    <col min="4" max="8" width="20.9219" style="314" customWidth="1"/>
    <col min="9" max="9" width="20.5859" style="316" customWidth="1"/>
    <col min="10" max="12" width="21.1094" style="316" customWidth="1"/>
    <col min="13" max="13" width="20.5859" style="317" customWidth="1"/>
    <col min="14" max="16" width="21.1094" style="317" customWidth="1"/>
    <col min="17" max="16384" width="10.8516" style="317" customWidth="1"/>
  </cols>
  <sheetData>
    <row r="1" ht="72.45" customHeight="1"/>
    <row r="2" ht="20.45" customHeight="1">
      <c r="B2" t="s" s="225">
        <v>79</v>
      </c>
      <c r="C2" t="s" s="226">
        <v>80</v>
      </c>
      <c r="D2" t="s" s="226">
        <v>81</v>
      </c>
      <c r="E2" t="s" s="282">
        <v>82</v>
      </c>
      <c r="F2" s="282"/>
      <c r="G2" s="282"/>
      <c r="H2" s="227"/>
    </row>
    <row r="3" ht="20.45" customHeight="1">
      <c r="B3" s="315">
        <v>46175.455439814818</v>
      </c>
      <c r="C3" t="s" s="230">
        <v>225</v>
      </c>
      <c r="D3" t="s" s="230">
        <v>16</v>
      </c>
      <c r="E3" s="300" cm="1">
        <f t="array" ref="E3">F3*G3</f>
        <v>8.324741597691659</v>
      </c>
      <c r="F3" s="301" cm="1">
        <f t="array" ref="F3">'Budgeting'!$AH$51</f>
        <v>0.858220783267181</v>
      </c>
      <c r="G3" s="302">
        <v>9.699999999999999</v>
      </c>
      <c r="H3" t="s" s="303">
        <v>178</v>
      </c>
    </row>
    <row r="4" ht="20.2" customHeight="1">
      <c r="B4" s="306">
        <v>46175.462164351855</v>
      </c>
      <c r="C4" t="s" s="234">
        <v>225</v>
      </c>
      <c r="D4" t="s" s="234">
        <v>22</v>
      </c>
      <c r="E4" s="284" cm="1">
        <f t="array" ref="E4">F4*G4</f>
        <v>15.1647612403311</v>
      </c>
      <c r="F4" s="285" cm="1">
        <f t="array" ref="F4">'Budgeting'!$AH$51</f>
        <v>0.858220783267181</v>
      </c>
      <c r="G4" s="266">
        <v>17.67</v>
      </c>
      <c r="H4" t="s" s="286">
        <v>178</v>
      </c>
    </row>
    <row r="5" ht="20.2" customHeight="1">
      <c r="B5" s="304">
        <v>46175.752152777779</v>
      </c>
      <c r="C5" t="s" s="238">
        <v>308</v>
      </c>
      <c r="D5" t="s" s="238">
        <v>86</v>
      </c>
      <c r="E5" s="288" cm="1">
        <f t="array" ref="E5">F5*G5</f>
        <v>17.1644156653436</v>
      </c>
      <c r="F5" s="289" cm="1">
        <f t="array" ref="F5">'Budgeting'!$AH$51</f>
        <v>0.858220783267181</v>
      </c>
      <c r="G5" s="265">
        <v>20</v>
      </c>
      <c r="H5" t="s" s="290">
        <v>178</v>
      </c>
    </row>
    <row r="6" ht="20.2" customHeight="1">
      <c r="B6" s="306">
        <v>46176.7637962963</v>
      </c>
      <c r="C6" t="s" s="234">
        <v>198</v>
      </c>
      <c r="D6" t="s" s="234">
        <v>16</v>
      </c>
      <c r="E6" s="284" cm="1">
        <f t="array" ref="E6">F6*G6</f>
        <v>15.6282004632954</v>
      </c>
      <c r="F6" s="285" cm="1">
        <f t="array" ref="F6">'Budgeting'!$AH$51</f>
        <v>0.858220783267181</v>
      </c>
      <c r="G6" s="266">
        <v>18.21</v>
      </c>
      <c r="H6" t="s" s="286">
        <v>178</v>
      </c>
    </row>
    <row r="7" ht="20.2" customHeight="1">
      <c r="B7" s="304">
        <v>46175.750949074078</v>
      </c>
      <c r="C7" t="s" s="238">
        <v>231</v>
      </c>
      <c r="D7" t="s" s="238">
        <v>16</v>
      </c>
      <c r="E7" s="288" cm="1">
        <f t="array" ref="E7">F7*G7</f>
        <v>17.1300868340129</v>
      </c>
      <c r="F7" s="289" cm="1">
        <f t="array" ref="F7">'Budgeting'!$AH$51</f>
        <v>0.858220783267181</v>
      </c>
      <c r="G7" s="265">
        <v>19.96</v>
      </c>
      <c r="H7" t="s" s="290">
        <v>178</v>
      </c>
    </row>
    <row r="8" ht="20.2" customHeight="1">
      <c r="B8" s="306">
        <v>46177.343125</v>
      </c>
      <c r="C8" t="s" s="234">
        <v>309</v>
      </c>
      <c r="D8" t="s" s="234">
        <v>20</v>
      </c>
      <c r="E8" s="284" cm="1">
        <f t="array" ref="E8">F8*G8</f>
        <v>2.14555195816795</v>
      </c>
      <c r="F8" s="285" cm="1">
        <f t="array" ref="F8">'Budgeting'!$AH$51</f>
        <v>0.858220783267181</v>
      </c>
      <c r="G8" s="266">
        <v>2.5</v>
      </c>
      <c r="H8" t="s" s="286">
        <v>178</v>
      </c>
    </row>
    <row r="9" ht="20.2" customHeight="1">
      <c r="B9" s="304">
        <v>46178.294988425929</v>
      </c>
      <c r="C9" t="s" s="238">
        <v>310</v>
      </c>
      <c r="D9" t="s" s="238">
        <v>20</v>
      </c>
      <c r="E9" s="288" cm="1">
        <f t="array" ref="E9">F9*G9</f>
        <v>17.1644156653436</v>
      </c>
      <c r="F9" s="289" cm="1">
        <f t="array" ref="F9">'Budgeting'!$AH$51</f>
        <v>0.858220783267181</v>
      </c>
      <c r="G9" s="265">
        <v>20</v>
      </c>
      <c r="H9" t="s" s="290">
        <v>311</v>
      </c>
    </row>
    <row r="10" ht="20.2" customHeight="1">
      <c r="B10" s="306">
        <v>46178.297337962962</v>
      </c>
      <c r="C10" t="s" s="234">
        <v>312</v>
      </c>
      <c r="D10" t="s" s="234">
        <v>106</v>
      </c>
      <c r="E10" s="284" cm="1">
        <f t="array" ref="E10">F10*G10</f>
        <v>17.1644156653436</v>
      </c>
      <c r="F10" s="285" cm="1">
        <f t="array" ref="F10">'Budgeting'!$AH$51</f>
        <v>0.858220783267181</v>
      </c>
      <c r="G10" s="266">
        <v>20</v>
      </c>
      <c r="H10" t="s" s="286">
        <v>178</v>
      </c>
    </row>
    <row r="11" ht="20.2" customHeight="1">
      <c r="B11" s="304">
        <v>46178.466319444444</v>
      </c>
      <c r="C11" t="s" s="238">
        <v>225</v>
      </c>
      <c r="D11" t="s" s="238">
        <v>22</v>
      </c>
      <c r="E11" s="288" cm="1">
        <f t="array" ref="E11">F11*G11</f>
        <v>26.5447688264539</v>
      </c>
      <c r="F11" s="289" cm="1">
        <f t="array" ref="F11">'Budgeting'!$AH$51</f>
        <v>0.858220783267181</v>
      </c>
      <c r="G11" s="265">
        <v>30.93</v>
      </c>
      <c r="H11" t="s" s="290">
        <v>178</v>
      </c>
    </row>
    <row r="12" ht="20.2" customHeight="1">
      <c r="B12" s="306">
        <v>46178.527673611112</v>
      </c>
      <c r="C12" t="s" s="234">
        <v>207</v>
      </c>
      <c r="D12" t="s" s="234">
        <v>14</v>
      </c>
      <c r="E12" s="284" cm="1">
        <f t="array" ref="E12">F12*G12</f>
        <v>7.57808951624921</v>
      </c>
      <c r="F12" s="285" cm="1">
        <f t="array" ref="F12">'Budgeting'!$AH$51</f>
        <v>0.858220783267181</v>
      </c>
      <c r="G12" s="266">
        <v>8.83</v>
      </c>
      <c r="H12" t="s" s="286">
        <v>178</v>
      </c>
    </row>
    <row r="13" ht="20.2" customHeight="1">
      <c r="B13" s="304">
        <v>46178.761689814812</v>
      </c>
      <c r="C13" t="s" s="238">
        <v>231</v>
      </c>
      <c r="D13" t="s" s="238">
        <v>22</v>
      </c>
      <c r="E13" s="288" cm="1">
        <f t="array" ref="E13">F13*G13</f>
        <v>2.8321285847817</v>
      </c>
      <c r="F13" s="289" cm="1">
        <f t="array" ref="F13">'Budgeting'!$AH$51</f>
        <v>0.858220783267181</v>
      </c>
      <c r="G13" s="265">
        <v>3.3</v>
      </c>
      <c r="H13" t="s" s="290">
        <v>178</v>
      </c>
    </row>
    <row r="14" ht="20.2" customHeight="1">
      <c r="B14" s="306">
        <v>46178.781724537039</v>
      </c>
      <c r="C14" t="s" s="234">
        <v>225</v>
      </c>
      <c r="D14" t="s" s="234">
        <v>16</v>
      </c>
      <c r="E14" s="284" cm="1">
        <f t="array" ref="E14">F14*G14</f>
        <v>3.1668346902559</v>
      </c>
      <c r="F14" s="285" cm="1">
        <f t="array" ref="F14">'Budgeting'!$AH$51</f>
        <v>0.858220783267181</v>
      </c>
      <c r="G14" s="266">
        <v>3.69</v>
      </c>
      <c r="H14" t="s" s="286">
        <v>178</v>
      </c>
    </row>
    <row r="15" ht="20.2" customHeight="1">
      <c r="B15" s="304">
        <v>46178.806145833332</v>
      </c>
      <c r="C15" t="s" s="238">
        <v>225</v>
      </c>
      <c r="D15" t="s" s="238">
        <v>16</v>
      </c>
      <c r="E15" s="288" cm="1">
        <f t="array" ref="E15">F15*G15</f>
        <v>21.4383551660142</v>
      </c>
      <c r="F15" s="289" cm="1">
        <f t="array" ref="F15">'Budgeting'!$AH$51</f>
        <v>0.858220783267181</v>
      </c>
      <c r="G15" s="265">
        <v>24.98</v>
      </c>
      <c r="H15" t="s" s="290">
        <v>178</v>
      </c>
    </row>
    <row r="16" ht="20.2" customHeight="1">
      <c r="B16" s="261">
        <v>46172</v>
      </c>
      <c r="C16" t="s" s="233">
        <v>78</v>
      </c>
      <c r="D16" t="s" s="234">
        <v>17</v>
      </c>
      <c r="E16" s="275">
        <v>948.5</v>
      </c>
      <c r="F16" s="285" cm="1">
        <f t="array" ref="F16">'Budgeting'!$AH$51</f>
        <v>0.858220783267181</v>
      </c>
      <c r="G16" s="268"/>
      <c r="H16" t="s" s="286">
        <v>178</v>
      </c>
    </row>
    <row r="17" ht="20.2" customHeight="1">
      <c r="B17" s="304">
        <v>46179.829537037040</v>
      </c>
      <c r="C17" t="s" s="238">
        <v>313</v>
      </c>
      <c r="D17" t="s" s="238">
        <v>14</v>
      </c>
      <c r="E17" s="288" cm="1">
        <f t="array" ref="E17">F17*G17</f>
        <v>14.1005674690798</v>
      </c>
      <c r="F17" s="289" cm="1">
        <f t="array" ref="F17">'Budgeting'!$AH$51</f>
        <v>0.858220783267181</v>
      </c>
      <c r="G17" s="265">
        <v>16.43</v>
      </c>
      <c r="H17" t="s" s="238">
        <v>178</v>
      </c>
    </row>
    <row r="18" ht="32.2" customHeight="1">
      <c r="B18" s="306">
        <v>46180.012754629628</v>
      </c>
      <c r="C18" t="s" s="234">
        <v>314</v>
      </c>
      <c r="D18" t="s" s="234">
        <v>20</v>
      </c>
      <c r="E18" s="284" cm="1">
        <f t="array" ref="E18">F18*G18</f>
        <v>8.582207832671809</v>
      </c>
      <c r="F18" s="285" cm="1">
        <f t="array" ref="F18">'Budgeting'!$AH$51</f>
        <v>0.858220783267181</v>
      </c>
      <c r="G18" s="266">
        <v>10</v>
      </c>
      <c r="H18" t="s" s="234">
        <v>178</v>
      </c>
    </row>
    <row r="19" ht="32.2" customHeight="1">
      <c r="B19" s="304">
        <v>46180.022731481484</v>
      </c>
      <c r="C19" t="s" s="238">
        <v>314</v>
      </c>
      <c r="D19" t="s" s="238">
        <v>14</v>
      </c>
      <c r="E19" s="243" cm="1">
        <f t="array" ref="E19">G19*F19</f>
        <v>7.85272016689471</v>
      </c>
      <c r="F19" s="289" cm="1">
        <f t="array" ref="F19">'Budgeting'!$AH$51</f>
        <v>0.858220783267181</v>
      </c>
      <c r="G19" s="265">
        <v>9.15</v>
      </c>
      <c r="H19" t="s" s="238">
        <v>178</v>
      </c>
    </row>
    <row r="20" ht="20.2" customHeight="1">
      <c r="B20" s="306">
        <v>46180.6144212963</v>
      </c>
      <c r="C20" t="s" s="234">
        <v>315</v>
      </c>
      <c r="D20" t="s" s="234">
        <v>14</v>
      </c>
      <c r="E20" s="241" cm="1">
        <f t="array" ref="E20">G20*F20</f>
        <v>7.31204107343638</v>
      </c>
      <c r="F20" s="285" cm="1">
        <f t="array" ref="F20">'Budgeting'!$AH$51</f>
        <v>0.858220783267181</v>
      </c>
      <c r="G20" s="266">
        <v>8.52</v>
      </c>
      <c r="H20" t="s" s="234">
        <v>178</v>
      </c>
    </row>
    <row r="21" ht="32.2" customHeight="1">
      <c r="B21" s="304">
        <v>46181.729722222219</v>
      </c>
      <c r="C21" t="s" s="238">
        <v>316</v>
      </c>
      <c r="D21" t="s" s="238">
        <v>16</v>
      </c>
      <c r="E21" s="243" cm="1">
        <f t="array" ref="E21">G21*F21</f>
        <v>14.3237048727293</v>
      </c>
      <c r="F21" s="289" cm="1">
        <f t="array" ref="F21">'Budgeting'!$AH$51</f>
        <v>0.858220783267181</v>
      </c>
      <c r="G21" s="265">
        <v>16.69</v>
      </c>
      <c r="H21" t="s" s="238">
        <v>178</v>
      </c>
    </row>
    <row r="22" ht="32.2" customHeight="1">
      <c r="B22" s="306">
        <v>46182.609722222223</v>
      </c>
      <c r="C22" t="s" s="234">
        <v>317</v>
      </c>
      <c r="D22" t="s" s="234">
        <v>20</v>
      </c>
      <c r="E22" s="241" cm="1">
        <f t="array" ref="E22">G22*F22</f>
        <v>68.3916142185617</v>
      </c>
      <c r="F22" s="285" cm="1">
        <f t="array" ref="F22">'Budgeting'!$AH$51</f>
        <v>0.858220783267181</v>
      </c>
      <c r="G22" s="266">
        <v>79.69</v>
      </c>
      <c r="H22" t="s" s="234">
        <v>178</v>
      </c>
    </row>
    <row r="23" ht="20.2" customHeight="1">
      <c r="B23" s="304">
        <v>46182.754675925928</v>
      </c>
      <c r="C23" t="s" s="238">
        <v>318</v>
      </c>
      <c r="D23" t="s" s="238">
        <v>16</v>
      </c>
      <c r="E23" s="243" cm="1">
        <f t="array" ref="E23">G23*F23</f>
        <v>27.5574693507092</v>
      </c>
      <c r="F23" s="289" cm="1">
        <f t="array" ref="F23">'Budgeting'!$AH$51</f>
        <v>0.858220783267181</v>
      </c>
      <c r="G23" s="265">
        <v>32.11</v>
      </c>
      <c r="H23" t="s" s="238">
        <v>178</v>
      </c>
    </row>
    <row r="24" ht="20.2" customHeight="1">
      <c r="B24" s="306">
        <v>46182.8034837963</v>
      </c>
      <c r="C24" t="s" s="234">
        <v>225</v>
      </c>
      <c r="D24" t="s" s="234">
        <v>16</v>
      </c>
      <c r="E24" s="241" cm="1">
        <f t="array" ref="E24">G24*F24</f>
        <v>30.7500506644631</v>
      </c>
      <c r="F24" s="285" cm="1">
        <f t="array" ref="F24">'Budgeting'!$AH$51</f>
        <v>0.858220783267181</v>
      </c>
      <c r="G24" s="266">
        <v>35.83</v>
      </c>
      <c r="H24" t="s" s="234">
        <v>178</v>
      </c>
    </row>
    <row r="25" ht="20.2" customHeight="1">
      <c r="B25" s="304">
        <v>46182.806620370371</v>
      </c>
      <c r="C25" t="s" s="238">
        <v>225</v>
      </c>
      <c r="D25" t="s" s="238">
        <v>16</v>
      </c>
      <c r="E25" s="243" cm="1">
        <f t="array" ref="E25">G25*F25</f>
        <v>15.4222274753112</v>
      </c>
      <c r="F25" s="289" cm="1">
        <f t="array" ref="F25">'Budgeting'!$AH$51</f>
        <v>0.858220783267181</v>
      </c>
      <c r="G25" s="265">
        <v>17.97</v>
      </c>
      <c r="H25" t="s" s="238">
        <v>178</v>
      </c>
    </row>
    <row r="26" ht="20.2" customHeight="1">
      <c r="B26" s="306">
        <v>46183.531527777777</v>
      </c>
      <c r="C26" t="s" s="234">
        <v>225</v>
      </c>
      <c r="D26" t="s" s="234">
        <v>16</v>
      </c>
      <c r="E26" s="241" cm="1">
        <f t="array" ref="E26">G26*F26</f>
        <v>23.6954758260069</v>
      </c>
      <c r="F26" s="285" cm="1">
        <f t="array" ref="F26">'Budgeting'!$AH$51</f>
        <v>0.858220783267181</v>
      </c>
      <c r="G26" s="266">
        <v>27.61</v>
      </c>
      <c r="H26" t="s" s="234">
        <v>178</v>
      </c>
    </row>
    <row r="27" ht="20.2" customHeight="1">
      <c r="B27" s="304">
        <v>46183.890983796293</v>
      </c>
      <c r="C27" t="s" s="238">
        <v>319</v>
      </c>
      <c r="D27" t="s" s="238">
        <v>16</v>
      </c>
      <c r="E27" s="243" cm="1">
        <f t="array" ref="E27">G27*F27</f>
        <v>20.528641135751</v>
      </c>
      <c r="F27" s="289" cm="1">
        <f t="array" ref="F27">'Budgeting'!$AH$51</f>
        <v>0.858220783267181</v>
      </c>
      <c r="G27" s="265">
        <v>23.92</v>
      </c>
      <c r="H27" t="s" s="238">
        <v>178</v>
      </c>
    </row>
    <row r="28" ht="20.2" customHeight="1">
      <c r="B28" s="306">
        <v>46184.519201388888</v>
      </c>
      <c r="C28" t="s" s="234">
        <v>207</v>
      </c>
      <c r="D28" t="s" s="234">
        <v>14</v>
      </c>
      <c r="E28" s="241" cm="1">
        <f t="array" ref="E28">G28*F28</f>
        <v>1.89666793102047</v>
      </c>
      <c r="F28" s="285" cm="1">
        <f t="array" ref="F28">'Budgeting'!$AH$51</f>
        <v>0.858220783267181</v>
      </c>
      <c r="G28" s="266">
        <v>2.21</v>
      </c>
      <c r="H28" t="s" s="234">
        <v>178</v>
      </c>
    </row>
    <row r="29" ht="20.2" customHeight="1">
      <c r="B29" s="304">
        <v>46184.700694444444</v>
      </c>
      <c r="C29" t="s" s="238">
        <v>320</v>
      </c>
      <c r="D29" t="s" s="238">
        <v>19</v>
      </c>
      <c r="E29" s="243" cm="1">
        <f t="array" ref="E29">G29*F29</f>
        <v>8.324741597691659</v>
      </c>
      <c r="F29" s="289" cm="1">
        <f t="array" ref="F29">'Budgeting'!$AH$51</f>
        <v>0.858220783267181</v>
      </c>
      <c r="G29" s="265">
        <v>9.699999999999999</v>
      </c>
      <c r="H29" t="s" s="238">
        <v>178</v>
      </c>
    </row>
    <row r="30" ht="20.2" customHeight="1">
      <c r="B30" s="306">
        <v>46185.9146875</v>
      </c>
      <c r="C30" t="s" s="234">
        <v>321</v>
      </c>
      <c r="D30" t="s" s="234">
        <v>14</v>
      </c>
      <c r="E30" s="241" cm="1">
        <f t="array" ref="E30">G30*F30</f>
        <v>4.10229534401713</v>
      </c>
      <c r="F30" s="285" cm="1">
        <f t="array" ref="F30">'Budgeting'!$AH$51</f>
        <v>0.858220783267181</v>
      </c>
      <c r="G30" s="266">
        <v>4.78</v>
      </c>
      <c r="H30" t="s" s="234">
        <v>178</v>
      </c>
    </row>
    <row r="31" ht="20.2" customHeight="1">
      <c r="B31" s="304">
        <v>46186.776412037034</v>
      </c>
      <c r="C31" t="s" s="238">
        <v>321</v>
      </c>
      <c r="D31" t="s" s="238">
        <v>14</v>
      </c>
      <c r="E31" s="305" cm="1">
        <f t="array" ref="E31">G31*F31</f>
        <v>18.2371916444276</v>
      </c>
      <c r="F31" s="289" cm="1">
        <f t="array" ref="F31">'Budgeting'!$AH$51</f>
        <v>0.858220783267181</v>
      </c>
      <c r="G31" s="265">
        <v>21.25</v>
      </c>
      <c r="H31" s="267"/>
    </row>
    <row r="32" ht="20.2" customHeight="1">
      <c r="B32" s="306">
        <v>46187.852291666670</v>
      </c>
      <c r="C32" t="s" s="234">
        <v>322</v>
      </c>
      <c r="D32" t="s" s="234">
        <v>14</v>
      </c>
      <c r="E32" s="307" cm="1">
        <f t="array" ref="E32">G32*F32</f>
        <v>10.4016358931982</v>
      </c>
      <c r="F32" s="285" cm="1">
        <f t="array" ref="F32">'Budgeting'!$AH$51</f>
        <v>0.858220783267181</v>
      </c>
      <c r="G32" s="266">
        <v>12.12</v>
      </c>
      <c r="H32" s="268"/>
    </row>
    <row r="33" ht="20.2" customHeight="1">
      <c r="B33" s="304">
        <v>46187.9409837963</v>
      </c>
      <c r="C33" t="s" s="238">
        <v>230</v>
      </c>
      <c r="D33" t="s" s="238">
        <v>16</v>
      </c>
      <c r="E33" s="305" cm="1">
        <f t="array" ref="E33">G33*F33</f>
        <v>5.40679093458324</v>
      </c>
      <c r="F33" s="289" cm="1">
        <f t="array" ref="F33">'Budgeting'!$AH$51</f>
        <v>0.858220783267181</v>
      </c>
      <c r="G33" s="265">
        <v>6.3</v>
      </c>
      <c r="H33" s="267"/>
    </row>
    <row r="34" ht="20.2" customHeight="1">
      <c r="B34" s="306">
        <v>46188.469293981485</v>
      </c>
      <c r="C34" t="s" s="234">
        <v>230</v>
      </c>
      <c r="D34" t="s" s="234">
        <v>20</v>
      </c>
      <c r="E34" s="307" cm="1">
        <f t="array" ref="E34">G34*F34</f>
        <v>61.0366621059619</v>
      </c>
      <c r="F34" s="285" cm="1">
        <f t="array" ref="F34">'Budgeting'!$AH$51</f>
        <v>0.858220783267181</v>
      </c>
      <c r="G34" s="266">
        <v>71.12</v>
      </c>
      <c r="H34" s="268"/>
    </row>
    <row r="35" ht="20.2" customHeight="1">
      <c r="B35" s="304">
        <v>46189.939282407409</v>
      </c>
      <c r="C35" t="s" s="238">
        <v>225</v>
      </c>
      <c r="D35" t="s" s="238">
        <v>16</v>
      </c>
      <c r="E35" s="305" cm="1">
        <f t="array" ref="E35">G35*F35</f>
        <v>8.98557160080739</v>
      </c>
      <c r="F35" s="289" cm="1">
        <f t="array" ref="F35">'Budgeting'!$AH$51</f>
        <v>0.858220783267181</v>
      </c>
      <c r="G35" s="265">
        <v>10.47</v>
      </c>
      <c r="H35" s="267"/>
    </row>
    <row r="36" ht="20.2" customHeight="1">
      <c r="B36" s="306">
        <v>46190.065995370373</v>
      </c>
      <c r="C36" t="s" s="234">
        <v>225</v>
      </c>
      <c r="D36" t="s" s="234">
        <v>16</v>
      </c>
      <c r="E36" s="307" cm="1">
        <f t="array" ref="E36">G36*F36</f>
        <v>17.5077039786505</v>
      </c>
      <c r="F36" s="285" cm="1">
        <f t="array" ref="F36">'Budgeting'!$AH$51</f>
        <v>0.858220783267181</v>
      </c>
      <c r="G36" s="266">
        <v>20.4</v>
      </c>
      <c r="H36" t="s" s="234">
        <v>263</v>
      </c>
    </row>
    <row r="37" ht="20.2" customHeight="1">
      <c r="B37" s="304">
        <v>46190.153425925928</v>
      </c>
      <c r="C37" t="s" s="238">
        <v>225</v>
      </c>
      <c r="D37" t="s" s="238">
        <v>16</v>
      </c>
      <c r="E37" s="305" cm="1">
        <f t="array" ref="E37">G37*F37</f>
        <v>15.4222274753112</v>
      </c>
      <c r="F37" s="289" cm="1">
        <f t="array" ref="F37">'Budgeting'!$AH$51</f>
        <v>0.858220783267181</v>
      </c>
      <c r="G37" s="265">
        <v>17.97</v>
      </c>
      <c r="H37" s="267"/>
    </row>
    <row r="38" ht="20.2" customHeight="1">
      <c r="B38" s="306">
        <v>46190.4859375</v>
      </c>
      <c r="C38" t="s" s="234">
        <v>225</v>
      </c>
      <c r="D38" t="s" s="234">
        <v>16</v>
      </c>
      <c r="E38" s="307" cm="1">
        <f t="array" ref="E38">G38*F38</f>
        <v>2.8321285847817</v>
      </c>
      <c r="F38" s="285" cm="1">
        <f t="array" ref="F38">'Budgeting'!$AH$51</f>
        <v>0.858220783267181</v>
      </c>
      <c r="G38" s="266">
        <v>3.3</v>
      </c>
      <c r="H38" s="268"/>
    </row>
    <row r="39" ht="20.2" customHeight="1">
      <c r="B39" s="304">
        <v>46190.877395833333</v>
      </c>
      <c r="C39" t="s" s="238">
        <v>323</v>
      </c>
      <c r="D39" t="s" s="238">
        <v>102</v>
      </c>
      <c r="E39" s="305" cm="1">
        <f t="array" ref="E39">G39*F39</f>
        <v>7.29487665777104</v>
      </c>
      <c r="F39" s="289" cm="1">
        <f t="array" ref="F39">'Budgeting'!$AH$51</f>
        <v>0.858220783267181</v>
      </c>
      <c r="G39" s="265">
        <v>8.5</v>
      </c>
      <c r="H39" s="267"/>
    </row>
    <row r="40" ht="32.2" customHeight="1">
      <c r="B40" s="306">
        <v>46191.929201388892</v>
      </c>
      <c r="C40" t="s" s="234">
        <v>324</v>
      </c>
      <c r="D40" t="s" s="234">
        <v>14</v>
      </c>
      <c r="E40" s="307" cm="1">
        <f t="array" ref="E40">G40*F40</f>
        <v>24.5451144014414</v>
      </c>
      <c r="F40" s="285" cm="1">
        <f t="array" ref="F40">'Budgeting'!$AH$51</f>
        <v>0.858220783267181</v>
      </c>
      <c r="G40" s="266">
        <v>28.6</v>
      </c>
      <c r="H40" s="268"/>
    </row>
    <row r="41" ht="20.2" customHeight="1">
      <c r="B41" s="304">
        <v>46192.457083333335</v>
      </c>
      <c r="C41" t="s" s="238">
        <v>325</v>
      </c>
      <c r="D41" t="s" s="238">
        <v>19</v>
      </c>
      <c r="E41" s="305" cm="1">
        <f t="array" ref="E41">G41*F41</f>
        <v>34.3288313306872</v>
      </c>
      <c r="F41" s="289" cm="1">
        <f t="array" ref="F41">'Budgeting'!$AH$51</f>
        <v>0.858220783267181</v>
      </c>
      <c r="G41" s="265">
        <v>40</v>
      </c>
      <c r="H41" s="267"/>
    </row>
    <row r="42" ht="20.2" customHeight="1">
      <c r="B42" s="306">
        <v>46192.457152777781</v>
      </c>
      <c r="C42" t="s" s="234">
        <v>326</v>
      </c>
      <c r="D42" t="s" s="234">
        <v>19</v>
      </c>
      <c r="E42" s="307" cm="1">
        <f t="array" ref="E42">G42*F42</f>
        <v>0.7209054579444319</v>
      </c>
      <c r="F42" s="285" cm="1">
        <f t="array" ref="F42">'Budgeting'!$AH$51</f>
        <v>0.858220783267181</v>
      </c>
      <c r="G42" s="266">
        <v>0.84</v>
      </c>
      <c r="H42" s="268"/>
    </row>
    <row r="43" ht="32.2" customHeight="1">
      <c r="B43" s="304">
        <v>46192.5649537037</v>
      </c>
      <c r="C43" t="s" s="238">
        <v>327</v>
      </c>
      <c r="D43" t="s" s="238">
        <v>102</v>
      </c>
      <c r="E43" s="305" cm="1">
        <f t="array" ref="E43">G43*F43</f>
        <v>35.1870521139544</v>
      </c>
      <c r="F43" s="289" cm="1">
        <f t="array" ref="F43">'Budgeting'!$AH$51</f>
        <v>0.858220783267181</v>
      </c>
      <c r="G43" s="265">
        <v>41</v>
      </c>
      <c r="H43" s="267"/>
    </row>
    <row r="44" ht="20.2" customHeight="1">
      <c r="B44" s="306">
        <v>46193.777337962965</v>
      </c>
      <c r="C44" t="s" s="234">
        <v>328</v>
      </c>
      <c r="D44" t="s" s="234">
        <v>19</v>
      </c>
      <c r="E44" s="307" cm="1">
        <f t="array" ref="E44">G44*F44</f>
        <v>6.62546444682264</v>
      </c>
      <c r="F44" s="285" cm="1">
        <f t="array" ref="F44">'Budgeting'!$AH$51</f>
        <v>0.858220783267181</v>
      </c>
      <c r="G44" s="266">
        <v>7.72</v>
      </c>
      <c r="H44" s="268"/>
    </row>
    <row r="45" ht="20.2" customHeight="1">
      <c r="B45" s="304">
        <v>46193.8163425926</v>
      </c>
      <c r="C45" t="s" s="238">
        <v>318</v>
      </c>
      <c r="D45" t="s" s="238">
        <v>16</v>
      </c>
      <c r="E45" s="305" cm="1">
        <f t="array" ref="E45">G45*F45</f>
        <v>37.6501457619312</v>
      </c>
      <c r="F45" s="289" cm="1">
        <f t="array" ref="F45">'Budgeting'!$AH$51</f>
        <v>0.858220783267181</v>
      </c>
      <c r="G45" s="265">
        <v>43.87</v>
      </c>
      <c r="H45" s="267"/>
    </row>
    <row r="46" ht="20.2" customHeight="1">
      <c r="B46" s="306">
        <v>46195.025555555556</v>
      </c>
      <c r="C46" t="s" s="234">
        <v>225</v>
      </c>
      <c r="D46" t="s" s="234">
        <v>16</v>
      </c>
      <c r="E46" s="307" cm="1">
        <f t="array" ref="E46">G46*F46</f>
        <v>13.2680933093106</v>
      </c>
      <c r="F46" s="285" cm="1">
        <f t="array" ref="F46">'Budgeting'!$AH$51</f>
        <v>0.858220783267181</v>
      </c>
      <c r="G46" s="266">
        <v>15.46</v>
      </c>
      <c r="H46" s="268"/>
    </row>
    <row r="47" ht="20.2" customHeight="1">
      <c r="B47" s="304">
        <v>46195.6712962963</v>
      </c>
      <c r="C47" t="s" s="238">
        <v>225</v>
      </c>
      <c r="D47" t="s" s="238">
        <v>22</v>
      </c>
      <c r="E47" s="305" cm="1">
        <f t="array" ref="E47">G47*F47</f>
        <v>16.2976126742438</v>
      </c>
      <c r="F47" s="289" cm="1">
        <f t="array" ref="F47">'Budgeting'!$AH$51</f>
        <v>0.858220783267181</v>
      </c>
      <c r="G47" s="265">
        <v>18.99</v>
      </c>
      <c r="H47" s="267"/>
    </row>
    <row r="48" ht="20.2" customHeight="1">
      <c r="B48" s="306">
        <v>46195.681192129632</v>
      </c>
      <c r="C48" t="s" s="234">
        <v>225</v>
      </c>
      <c r="D48" t="s" s="234">
        <v>16</v>
      </c>
      <c r="E48" s="307" cm="1">
        <f t="array" ref="E48">G48*F48</f>
        <v>5.3896265189179</v>
      </c>
      <c r="F48" s="285" cm="1">
        <f t="array" ref="F48">'Budgeting'!$AH$51</f>
        <v>0.858220783267181</v>
      </c>
      <c r="G48" s="266">
        <v>6.28</v>
      </c>
      <c r="H48" s="268"/>
    </row>
    <row r="49" ht="20.2" customHeight="1">
      <c r="B49" s="304">
        <v>46195.761377314811</v>
      </c>
      <c r="C49" t="s" s="238">
        <v>329</v>
      </c>
      <c r="D49" t="s" s="238">
        <v>20</v>
      </c>
      <c r="E49" s="305" cm="1">
        <f t="array" ref="E49">G49*F49</f>
        <v>24.1160040098078</v>
      </c>
      <c r="F49" s="289" cm="1">
        <f t="array" ref="F49">'Budgeting'!$AH$51</f>
        <v>0.858220783267181</v>
      </c>
      <c r="G49" s="265">
        <v>28.1</v>
      </c>
      <c r="H49" s="267"/>
    </row>
    <row r="50" ht="20.2" customHeight="1">
      <c r="B50" s="306">
        <v>46197.004409722220</v>
      </c>
      <c r="C50" t="s" s="234">
        <v>225</v>
      </c>
      <c r="D50" t="s" s="234">
        <v>22</v>
      </c>
      <c r="E50" s="307" cm="1">
        <f t="array" ref="E50">G50*F50</f>
        <v>10.4188003088636</v>
      </c>
      <c r="F50" s="285" cm="1">
        <f t="array" ref="F50">'Budgeting'!$AH$51</f>
        <v>0.858220783267181</v>
      </c>
      <c r="G50" s="266">
        <v>12.14</v>
      </c>
      <c r="H50" s="268"/>
    </row>
    <row r="51" ht="20.2" customHeight="1">
      <c r="B51" s="304">
        <v>46197.350949074076</v>
      </c>
      <c r="C51" t="s" s="238">
        <v>225</v>
      </c>
      <c r="D51" t="s" s="238">
        <v>22</v>
      </c>
      <c r="E51" s="305" cm="1">
        <f t="array" ref="E51">G51*F51</f>
        <v>28.4414367574744</v>
      </c>
      <c r="F51" s="289" cm="1">
        <f t="array" ref="F51">'Budgeting'!$AH$51</f>
        <v>0.858220783267181</v>
      </c>
      <c r="G51" s="265">
        <v>33.14</v>
      </c>
      <c r="H51" s="267"/>
    </row>
    <row r="52" ht="20.2" customHeight="1">
      <c r="B52" s="306">
        <v>46197.473159722220</v>
      </c>
      <c r="C52" t="s" s="234">
        <v>207</v>
      </c>
      <c r="D52" t="s" s="234">
        <v>14</v>
      </c>
      <c r="E52" s="307" cm="1">
        <f t="array" ref="E52">G52*F52</f>
        <v>7.57808951624921</v>
      </c>
      <c r="F52" s="285" cm="1">
        <f t="array" ref="F52">'Budgeting'!$AH$51</f>
        <v>0.858220783267181</v>
      </c>
      <c r="G52" s="266">
        <v>8.83</v>
      </c>
      <c r="H52" s="268"/>
    </row>
    <row r="53" ht="20.2" customHeight="1">
      <c r="B53" s="304">
        <v>46197.810092592590</v>
      </c>
      <c r="C53" t="s" s="238">
        <v>225</v>
      </c>
      <c r="D53" t="s" s="238">
        <v>22</v>
      </c>
      <c r="E53" s="305" cm="1">
        <f t="array" ref="E53">G53*F53</f>
        <v>16.4950034543952</v>
      </c>
      <c r="F53" s="289" cm="1">
        <f t="array" ref="F53">'Budgeting'!$AH$51</f>
        <v>0.858220783267181</v>
      </c>
      <c r="G53" s="265">
        <v>19.22</v>
      </c>
      <c r="H53" s="267"/>
    </row>
    <row r="54" ht="20.2" customHeight="1">
      <c r="B54" s="306">
        <v>46198.246701388889</v>
      </c>
      <c r="C54" t="s" s="234">
        <v>330</v>
      </c>
      <c r="D54" t="s" s="234">
        <v>16</v>
      </c>
      <c r="E54" s="307" cm="1">
        <f t="array" ref="E54">G54*F54</f>
        <v>30.1407139083434</v>
      </c>
      <c r="F54" s="285" cm="1">
        <f t="array" ref="F54">'Budgeting'!$AH$51</f>
        <v>0.858220783267181</v>
      </c>
      <c r="G54" s="266">
        <v>35.12</v>
      </c>
      <c r="H54" s="268"/>
    </row>
    <row r="55" ht="20.2" customHeight="1">
      <c r="B55" s="304">
        <v>46199.006226851852</v>
      </c>
      <c r="C55" t="s" s="238">
        <v>331</v>
      </c>
      <c r="D55" t="s" s="238">
        <v>14</v>
      </c>
      <c r="E55" s="305" cm="1">
        <f t="array" ref="E55">G55*F55</f>
        <v>18.9666793102047</v>
      </c>
      <c r="F55" s="289" cm="1">
        <f t="array" ref="F55">'Budgeting'!$AH$51</f>
        <v>0.858220783267181</v>
      </c>
      <c r="G55" s="265">
        <v>22.1</v>
      </c>
      <c r="H55" s="267"/>
    </row>
    <row r="56" ht="20.2" customHeight="1">
      <c r="B56" s="306">
        <v>46199.176006944443</v>
      </c>
      <c r="C56" t="s" s="234">
        <v>225</v>
      </c>
      <c r="D56" t="s" s="234">
        <v>16</v>
      </c>
      <c r="E56" s="307" cm="1">
        <f t="array" ref="E56">G56*F56</f>
        <v>23.5667427085168</v>
      </c>
      <c r="F56" s="285" cm="1">
        <f t="array" ref="F56">'Budgeting'!$AH$51</f>
        <v>0.858220783267181</v>
      </c>
      <c r="G56" s="266">
        <v>27.46</v>
      </c>
      <c r="H56" s="268"/>
    </row>
    <row r="57" ht="20.2" customHeight="1">
      <c r="B57" s="304">
        <v>46199.589537037034</v>
      </c>
      <c r="C57" t="s" s="238">
        <v>332</v>
      </c>
      <c r="D57" t="s" s="238">
        <v>14</v>
      </c>
      <c r="E57" s="305" cm="1">
        <f t="array" ref="E57">G57*F57</f>
        <v>2.8922040396104</v>
      </c>
      <c r="F57" s="289" cm="1">
        <f t="array" ref="F57">'Budgeting'!$AH$51</f>
        <v>0.858220783267181</v>
      </c>
      <c r="G57" s="265">
        <v>3.37</v>
      </c>
      <c r="H57" s="267"/>
    </row>
    <row r="58" ht="32.2" customHeight="1">
      <c r="B58" s="306">
        <v>46199.898240740738</v>
      </c>
      <c r="C58" t="s" s="234">
        <v>333</v>
      </c>
      <c r="D58" t="s" s="234">
        <v>22</v>
      </c>
      <c r="E58" s="307" cm="1">
        <f t="array" ref="E58">G58*F58</f>
        <v>7.01166379929287</v>
      </c>
      <c r="F58" s="285" cm="1">
        <f t="array" ref="F58">'Budgeting'!$AH$51</f>
        <v>0.858220783267181</v>
      </c>
      <c r="G58" s="266">
        <v>8.17</v>
      </c>
      <c r="H58" s="268"/>
    </row>
    <row r="59" ht="32.2" customHeight="1">
      <c r="B59" s="304">
        <v>46199.918831018520</v>
      </c>
      <c r="C59" t="s" s="238">
        <v>334</v>
      </c>
      <c r="D59" t="s" s="238">
        <v>14</v>
      </c>
      <c r="E59" s="305" cm="1">
        <f t="array" ref="E59">G59*F59</f>
        <v>9.440428615938989</v>
      </c>
      <c r="F59" s="289" cm="1">
        <f t="array" ref="F59">'Budgeting'!$AH$51</f>
        <v>0.858220783267181</v>
      </c>
      <c r="G59" s="265">
        <v>11</v>
      </c>
      <c r="H59" s="267"/>
    </row>
    <row r="60" ht="20.2" customHeight="1">
      <c r="B60" s="306">
        <v>46200.769050925926</v>
      </c>
      <c r="C60" t="s" s="234">
        <v>319</v>
      </c>
      <c r="D60" t="s" s="234">
        <v>16</v>
      </c>
      <c r="E60" s="307" cm="1">
        <f t="array" ref="E60">G60*F60</f>
        <v>3.24407456074994</v>
      </c>
      <c r="F60" s="285" cm="1">
        <f t="array" ref="F60">'Budgeting'!$AH$51</f>
        <v>0.858220783267181</v>
      </c>
      <c r="G60" s="266" cm="1">
        <f t="array" ref="G60">68.04/18</f>
        <v>3.78</v>
      </c>
      <c r="H60" s="268"/>
    </row>
    <row r="61" ht="20.2" customHeight="1">
      <c r="B61" s="304">
        <v>46200.788888888892</v>
      </c>
      <c r="C61" t="s" s="238">
        <v>231</v>
      </c>
      <c r="D61" t="s" s="238">
        <v>16</v>
      </c>
      <c r="E61" s="305" cm="1">
        <f t="array" ref="E61">G61*F61</f>
        <v>4.73976267025503</v>
      </c>
      <c r="F61" s="289" cm="1">
        <f t="array" ref="F61">'Budgeting'!$AH$51</f>
        <v>0.858220783267181</v>
      </c>
      <c r="G61" s="265" cm="1">
        <f t="array" ref="G61">99.41/18</f>
        <v>5.52277777777778</v>
      </c>
      <c r="H61" s="267"/>
    </row>
    <row r="62" ht="20.2" customHeight="1">
      <c r="B62" s="306">
        <v>46201.532384259262</v>
      </c>
      <c r="C62" t="s" s="234">
        <v>318</v>
      </c>
      <c r="D62" t="s" s="234">
        <v>16</v>
      </c>
      <c r="E62" s="307" cm="1">
        <f t="array" ref="E62">G62*F62</f>
        <v>45.133830992021</v>
      </c>
      <c r="F62" s="285" cm="1">
        <f t="array" ref="F62">'Budgeting'!$AH$51</f>
        <v>0.858220783267181</v>
      </c>
      <c r="G62" s="266">
        <v>52.59</v>
      </c>
      <c r="H62" s="268"/>
    </row>
    <row r="63" ht="20.2" customHeight="1">
      <c r="B63" s="304">
        <v>46195.532384259262</v>
      </c>
      <c r="C63" t="s" s="238">
        <v>335</v>
      </c>
      <c r="D63" t="s" s="238">
        <v>22</v>
      </c>
      <c r="E63" s="305">
        <v>150.5</v>
      </c>
      <c r="F63" s="289" cm="1">
        <f t="array" ref="F63">'Budgeting'!$AH$51</f>
        <v>0.858220783267181</v>
      </c>
      <c r="G63" s="267"/>
      <c r="H63" s="267"/>
    </row>
    <row r="64" ht="20.2" customHeight="1">
      <c r="B64" s="306">
        <v>46195.532384259262</v>
      </c>
      <c r="C64" t="s" s="234">
        <v>27</v>
      </c>
      <c r="D64" t="s" s="234">
        <v>86</v>
      </c>
      <c r="E64" s="307">
        <v>20.99</v>
      </c>
      <c r="F64" s="285" cm="1">
        <f t="array" ref="F64">'Budgeting'!$AH$51</f>
        <v>0.858220783267181</v>
      </c>
      <c r="G64" s="268"/>
      <c r="H64" s="268"/>
    </row>
    <row r="65" ht="20.2" customHeight="1">
      <c r="B65" s="304">
        <v>46187.532384259262</v>
      </c>
      <c r="C65" t="s" s="238">
        <v>336</v>
      </c>
      <c r="D65" t="s" s="238">
        <v>86</v>
      </c>
      <c r="E65" s="305">
        <v>2.89</v>
      </c>
      <c r="F65" s="289" cm="1">
        <f t="array" ref="F65">'Budgeting'!$AH$51</f>
        <v>0.858220783267181</v>
      </c>
      <c r="G65" s="267"/>
      <c r="H65" s="267"/>
    </row>
    <row r="66" ht="20.2" customHeight="1">
      <c r="B66" s="306">
        <v>46196.532384259262</v>
      </c>
      <c r="C66" t="s" s="234">
        <v>337</v>
      </c>
      <c r="D66" t="s" s="234">
        <v>86</v>
      </c>
      <c r="E66" s="307">
        <v>5.49</v>
      </c>
      <c r="F66" s="285" cm="1">
        <f t="array" ref="F66">'Budgeting'!$AH$51</f>
        <v>0.858220783267181</v>
      </c>
      <c r="G66" s="268"/>
      <c r="H66" s="268"/>
    </row>
    <row r="67" ht="20.2" customHeight="1">
      <c r="B67" s="304"/>
      <c r="C67" t="s" s="238">
        <v>338</v>
      </c>
      <c r="D67" t="s" s="238">
        <v>22</v>
      </c>
      <c r="E67" s="305">
        <v>9.1</v>
      </c>
      <c r="F67" s="289" cm="1">
        <f t="array" ref="F67">'Budgeting'!$AH$51</f>
        <v>0.858220783267181</v>
      </c>
      <c r="G67" s="267"/>
      <c r="H67" s="267"/>
    </row>
    <row r="68" ht="20.2" customHeight="1">
      <c r="B68" s="306">
        <v>46202.223067129627</v>
      </c>
      <c r="C68" t="s" s="234">
        <v>225</v>
      </c>
      <c r="D68" t="s" s="234">
        <v>16</v>
      </c>
      <c r="E68" s="307" cm="1">
        <f t="array" ref="E68">G68*F68</f>
        <v>5.96463444370691</v>
      </c>
      <c r="F68" s="285" cm="1">
        <f t="array" ref="F68">'Budgeting'!$AH$51</f>
        <v>0.858220783267181</v>
      </c>
      <c r="G68" s="266">
        <v>6.95</v>
      </c>
      <c r="H68" s="268"/>
    </row>
    <row r="69" ht="20.2" customHeight="1">
      <c r="B69" s="304">
        <v>46202.5465625</v>
      </c>
      <c r="C69" t="s" s="238">
        <v>339</v>
      </c>
      <c r="D69" t="s" s="238">
        <v>102</v>
      </c>
      <c r="E69" s="305" cm="1">
        <f t="array" ref="E69">G69*F69</f>
        <v>4.92618729595362</v>
      </c>
      <c r="F69" s="289" cm="1">
        <f t="array" ref="F69">'Budgeting'!$AH$51</f>
        <v>0.858220783267181</v>
      </c>
      <c r="G69" s="265">
        <v>5.74</v>
      </c>
      <c r="H69" s="267"/>
    </row>
    <row r="70" ht="20.2" customHeight="1">
      <c r="B70" s="306">
        <v>46202.739895833336</v>
      </c>
      <c r="C70" t="s" s="234">
        <v>340</v>
      </c>
      <c r="D70" t="s" s="234">
        <v>14</v>
      </c>
      <c r="E70" s="307" cm="1">
        <f t="array" ref="E70">G70*F70</f>
        <v>15.6625292946261</v>
      </c>
      <c r="F70" s="285" cm="1">
        <f t="array" ref="F70">'Budgeting'!$AH$51</f>
        <v>0.858220783267181</v>
      </c>
      <c r="G70" s="266">
        <v>18.25</v>
      </c>
      <c r="H70" s="268"/>
    </row>
    <row r="71" ht="20.2" customHeight="1">
      <c r="B71" s="304">
        <v>46202.758321759262</v>
      </c>
      <c r="C71" t="s" s="238">
        <v>225</v>
      </c>
      <c r="D71" t="s" s="238">
        <v>16</v>
      </c>
      <c r="E71" s="305" cm="1">
        <f t="array" ref="E71">G71*F71</f>
        <v>3.42430092523605</v>
      </c>
      <c r="F71" s="289" cm="1">
        <f t="array" ref="F71">'Budgeting'!$AH$51</f>
        <v>0.858220783267181</v>
      </c>
      <c r="G71" s="265">
        <v>3.99</v>
      </c>
      <c r="H71" s="267"/>
    </row>
    <row r="72" ht="20.2" customHeight="1">
      <c r="B72" s="306">
        <v>46202.759027777778</v>
      </c>
      <c r="C72" t="s" s="234">
        <v>225</v>
      </c>
      <c r="D72" t="s" s="234">
        <v>16</v>
      </c>
      <c r="E72" s="307" cm="1">
        <f t="array" ref="E72">G72*F72</f>
        <v>35.0754834121297</v>
      </c>
      <c r="F72" s="285" cm="1">
        <f t="array" ref="F72">'Budgeting'!$AH$51</f>
        <v>0.858220783267181</v>
      </c>
      <c r="G72" s="266">
        <v>40.87</v>
      </c>
      <c r="H72" s="268"/>
    </row>
    <row r="73" ht="20.2" customHeight="1">
      <c r="B73" s="304">
        <v>46202.771435185183</v>
      </c>
      <c r="C73" t="s" s="238">
        <v>225</v>
      </c>
      <c r="D73" t="s" s="238">
        <v>16</v>
      </c>
      <c r="E73" s="305" cm="1">
        <f t="array" ref="E73">G73*F73</f>
        <v>27.4888116880478</v>
      </c>
      <c r="F73" s="289" cm="1">
        <f t="array" ref="F73">'Budgeting'!$AH$51</f>
        <v>0.858220783267181</v>
      </c>
      <c r="G73" s="265">
        <v>32.03</v>
      </c>
      <c r="H73" s="267"/>
    </row>
    <row r="74" ht="20.2" customHeight="1">
      <c r="B74" s="306">
        <v>46203.959004629629</v>
      </c>
      <c r="C74" t="s" s="234">
        <v>225</v>
      </c>
      <c r="D74" t="s" s="234">
        <v>16</v>
      </c>
      <c r="E74" s="307" cm="1">
        <f t="array" ref="E74">G74*F74</f>
        <v>13.1651068153186</v>
      </c>
      <c r="F74" s="285" cm="1">
        <f t="array" ref="F74">'Budgeting'!$AH$51</f>
        <v>0.858220783267181</v>
      </c>
      <c r="G74" s="266">
        <v>15.34</v>
      </c>
      <c r="H74" s="268"/>
    </row>
    <row r="75" ht="20.2" customHeight="1">
      <c r="B75" s="304">
        <v>46203.979768518519</v>
      </c>
      <c r="C75" t="s" s="238">
        <v>225</v>
      </c>
      <c r="D75" t="s" s="238">
        <v>16</v>
      </c>
      <c r="E75" s="305" cm="1">
        <f t="array" ref="E75">G75*F75</f>
        <v>5.569852883404</v>
      </c>
      <c r="F75" s="289" cm="1">
        <f t="array" ref="F75">'Budgeting'!$AH$51</f>
        <v>0.858220783267181</v>
      </c>
      <c r="G75" s="265">
        <v>6.49</v>
      </c>
      <c r="H75" s="267"/>
    </row>
    <row r="76" ht="20.2" customHeight="1">
      <c r="B76" s="306">
        <v>46203.979907407411</v>
      </c>
      <c r="C76" t="s" s="234">
        <v>225</v>
      </c>
      <c r="D76" t="s" s="234">
        <v>16</v>
      </c>
      <c r="E76" s="307" cm="1">
        <f t="array" ref="E76">G76*F76</f>
        <v>0.266048442812826</v>
      </c>
      <c r="F76" s="285" cm="1">
        <f t="array" ref="F76">'Budgeting'!$AH$51</f>
        <v>0.858220783267181</v>
      </c>
      <c r="G76" s="266">
        <v>0.31</v>
      </c>
      <c r="H76" s="268"/>
    </row>
    <row r="78" ht="27.65" customHeight="1">
      <c r="I78" t="s" s="2">
        <v>107</v>
      </c>
      <c r="J78" s="2"/>
      <c r="K78" s="2"/>
      <c r="L78" s="2"/>
    </row>
    <row r="79" ht="23.65" customHeight="1">
      <c r="I79" t="s" s="225">
        <v>81</v>
      </c>
      <c r="J79" t="s" s="226">
        <v>108</v>
      </c>
      <c r="K79" t="s" s="226">
        <v>2</v>
      </c>
      <c r="L79" t="s" s="245">
        <v>109</v>
      </c>
    </row>
    <row r="80" ht="20.45" customHeight="1">
      <c r="I80" t="s" s="246">
        <v>14</v>
      </c>
      <c r="J80" s="247" cm="1">
        <f t="array" ref="J80">'Budgeting'!G3</f>
        <v>139.2</v>
      </c>
      <c r="K80" s="248" cm="1">
        <f t="array" ref="K80">SUMIF(D3:D76,$I80,E3:E76)</f>
        <v>150.566254216394</v>
      </c>
      <c r="L80" s="248" cm="1">
        <f t="array" ref="L80">J80-K80</f>
        <v>-11.366254216394</v>
      </c>
    </row>
    <row r="81" ht="20.2" customHeight="1">
      <c r="I81" t="s" s="249">
        <v>15</v>
      </c>
      <c r="J81" s="250" cm="1">
        <f t="array" ref="J81">'Budgeting'!G4</f>
        <v>0</v>
      </c>
      <c r="K81" s="241" cm="1">
        <f t="array" ref="K81">SUMIF(D3:D76,$I81,E3:E76)</f>
        <v>0</v>
      </c>
      <c r="L81" s="241" cm="1">
        <f t="array" ref="L81">J81-K81</f>
        <v>0</v>
      </c>
    </row>
    <row r="82" ht="20.2" customHeight="1">
      <c r="I82" t="s" s="249">
        <v>16</v>
      </c>
      <c r="J82" s="250" cm="1">
        <f t="array" ref="J82">'Budgeting'!G5</f>
        <v>287.1</v>
      </c>
      <c r="K82" s="243" cm="1">
        <f t="array" ref="K82">SUMIF(D3:D76,$I82,E3:E76)</f>
        <v>502.207439691077</v>
      </c>
      <c r="L82" s="243" cm="1">
        <f t="array" ref="L82">J82-K82</f>
        <v>-215.107439691077</v>
      </c>
    </row>
    <row r="83" ht="20.2" customHeight="1">
      <c r="I83" t="s" s="249">
        <v>17</v>
      </c>
      <c r="J83" s="250" cm="1">
        <f t="array" ref="J83">'Budgeting'!G6</f>
        <v>1000</v>
      </c>
      <c r="K83" s="241" cm="1">
        <f t="array" ref="K83">SUMIF(D3:D76,$I83,E3:E76)</f>
        <v>948.5</v>
      </c>
      <c r="L83" s="241" cm="1">
        <f t="array" ref="L83">J83-K83</f>
        <v>51.5</v>
      </c>
    </row>
    <row r="84" ht="20.2" customHeight="1">
      <c r="I84" t="s" s="249">
        <v>18</v>
      </c>
      <c r="J84" s="250" cm="1">
        <f t="array" ref="J84">'Budgeting'!G7</f>
        <v>0</v>
      </c>
      <c r="K84" s="243" cm="1">
        <f t="array" ref="K84">SUMIF(D3:D76,$I84,E3:E76)</f>
        <v>0</v>
      </c>
      <c r="L84" s="243" cm="1">
        <f t="array" ref="L84">J84-K84</f>
        <v>0</v>
      </c>
    </row>
    <row r="85" ht="20.2" customHeight="1">
      <c r="I85" t="s" s="249">
        <v>19</v>
      </c>
      <c r="J85" s="250" cm="1">
        <f t="array" ref="J85">'Budgeting'!G8</f>
        <v>0</v>
      </c>
      <c r="K85" s="241" cm="1">
        <f t="array" ref="K85">SUMIF(D3:D76,$I85,E3:E76)</f>
        <v>49.9999428331459</v>
      </c>
      <c r="L85" s="241" cm="1">
        <f t="array" ref="L85">J85-K85</f>
        <v>-49.9999428331459</v>
      </c>
    </row>
    <row r="86" ht="20.2" customHeight="1">
      <c r="I86" t="s" s="249">
        <v>20</v>
      </c>
      <c r="J86" s="250" cm="1">
        <f t="array" ref="J86">'Budgeting'!G9</f>
        <v>278.4</v>
      </c>
      <c r="K86" s="243" cm="1">
        <f t="array" ref="K86">SUMIF(D3:D76,$I86,E3:E76)</f>
        <v>181.436455790515</v>
      </c>
      <c r="L86" s="243" cm="1">
        <f t="array" ref="L86">J86-K86</f>
        <v>96.96354420948499</v>
      </c>
    </row>
    <row r="87" ht="20.2" customHeight="1">
      <c r="I87" t="s" s="249">
        <v>86</v>
      </c>
      <c r="J87" s="250" cm="1">
        <f t="array" ref="J87">'Budgeting'!G10</f>
        <v>81.78</v>
      </c>
      <c r="K87" s="241" cm="1">
        <f t="array" ref="K87">SUMIF(D3:D76,$I87,E3:E76)</f>
        <v>46.5344156653436</v>
      </c>
      <c r="L87" s="241" cm="1">
        <f t="array" ref="L87">J87-K87</f>
        <v>35.2455843346564</v>
      </c>
    </row>
    <row r="88" ht="20.2" customHeight="1">
      <c r="I88" t="s" s="249">
        <v>22</v>
      </c>
      <c r="J88" s="250" cm="1">
        <f t="array" ref="J88">'Budgeting'!G11</f>
        <v>87</v>
      </c>
      <c r="K88" s="243" cm="1">
        <f t="array" ref="K88">SUMIF(D3:D76,$I88,E3:E76)</f>
        <v>282.806175645837</v>
      </c>
      <c r="L88" s="243" cm="1">
        <f t="array" ref="L88">J88-K88</f>
        <v>-195.806175645837</v>
      </c>
    </row>
    <row r="89" ht="20.45" customHeight="1">
      <c r="I89" t="s" s="251">
        <v>23</v>
      </c>
      <c r="J89" s="252" cm="1">
        <f t="array" ref="J89">'Budgeting'!G12</f>
        <v>0</v>
      </c>
      <c r="K89" s="257" cm="1">
        <f t="array" ref="K89">SUMIF(D3:D76,$I89,E3:E76)</f>
        <v>0</v>
      </c>
      <c r="L89" s="257" cm="1">
        <f t="array" ref="L89">J89-K89</f>
        <v>0</v>
      </c>
    </row>
    <row r="90" ht="20.45" customHeight="1">
      <c r="I90" t="s" s="254">
        <v>24</v>
      </c>
      <c r="J90" s="255" cm="1">
        <f t="array" ref="J90">SUM(J80:J89)</f>
        <v>1873.48</v>
      </c>
      <c r="K90" s="255" cm="1">
        <f t="array" ref="K90">SUM(K80:K89)</f>
        <v>2162.050683842310</v>
      </c>
      <c r="L90" s="255" cm="1">
        <f t="array" ref="L90">J90-K90</f>
        <v>-288.570683842310</v>
      </c>
    </row>
    <row r="92" ht="27.65" customHeight="1">
      <c r="M92" t="s" s="2">
        <v>110</v>
      </c>
      <c r="N92" s="2"/>
      <c r="O92" s="2"/>
      <c r="P92" s="2"/>
    </row>
    <row r="93" ht="23.65" customHeight="1">
      <c r="M93" t="s" s="225">
        <v>81</v>
      </c>
      <c r="N93" t="s" s="226">
        <v>108</v>
      </c>
      <c r="O93" t="s" s="226">
        <v>2</v>
      </c>
      <c r="P93" t="s" s="245">
        <v>109</v>
      </c>
    </row>
    <row r="94" ht="20.45" customHeight="1">
      <c r="M94" t="s" s="246">
        <v>105</v>
      </c>
      <c r="N94" s="247">
        <v>0</v>
      </c>
      <c r="O94" s="248" cm="1">
        <f t="array" ref="O94">SUMIF(D3:D76,$M94,E3:E76)</f>
        <v>0</v>
      </c>
      <c r="P94" s="248" cm="1">
        <f t="array" ref="P94">O94-N94</f>
        <v>0</v>
      </c>
    </row>
    <row r="95" ht="20.45" customHeight="1">
      <c r="M95" t="s" s="251">
        <v>102</v>
      </c>
      <c r="N95" s="252">
        <v>0</v>
      </c>
      <c r="O95" s="257" cm="1">
        <f t="array" ref="O95">SUMIF(D3:D76,$M95,E3:E76)</f>
        <v>47.4081160676791</v>
      </c>
      <c r="P95" s="257" cm="1">
        <f t="array" ref="P95">O95+N95</f>
        <v>47.4081160676791</v>
      </c>
    </row>
    <row r="96" ht="20.45" customHeight="1">
      <c r="M96" t="s" s="254">
        <v>24</v>
      </c>
      <c r="N96" s="255" cm="1">
        <f t="array" ref="N96">SUM(N94:N95)</f>
        <v>0</v>
      </c>
      <c r="O96" s="255" cm="1">
        <f t="array" ref="O96">SUM(O94:O95)</f>
        <v>47.4081160676791</v>
      </c>
      <c r="P96" s="255" cm="1">
        <f t="array" ref="P96">O96-N$96</f>
        <v>47.4081160676791</v>
      </c>
    </row>
  </sheetData>
  <mergeCells count="2">
    <mergeCell ref="I78:L78"/>
    <mergeCell ref="M92:P92"/>
  </mergeCells>
  <dataValidations count="1">
    <dataValidation type="list" allowBlank="1" showInputMessage="1" showErrorMessage="1" sqref="D3:D76">
      <formula1>"Restaurant,Entertainment,Travel &amp; auto,Utilities &amp; subscriptions,Sport &amp; activities,Food,Home,Medical,Personal Items,Other, ,Salary,Other/donations"</formula1>
    </dataValidation>
  </dataValidations>
  <hyperlinks>
    <hyperlink ref="C9" r:id="rId1" location="" tooltip="" display="Recreation,gov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2"/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B2:T115"/>
  <sheetViews>
    <sheetView workbookViewId="0" showGridLines="0" defaultGridColor="1"/>
  </sheetViews>
  <sheetFormatPr defaultColWidth="10.8333" defaultRowHeight="19.9" customHeight="1" outlineLevelRow="0" outlineLevelCol="0"/>
  <cols>
    <col min="1" max="1" width="93.4688" style="318" customWidth="1"/>
    <col min="2" max="2" width="10.8359" style="318" customWidth="1"/>
    <col min="3" max="3" width="31.2266" style="318" customWidth="1"/>
    <col min="4" max="8" width="20.9219" style="318" customWidth="1"/>
    <col min="9" max="9" width="20.5859" style="322" customWidth="1"/>
    <col min="10" max="12" width="21.1094" style="322" customWidth="1"/>
    <col min="13" max="13" width="20.5859" style="323" customWidth="1"/>
    <col min="14" max="16" width="21.1094" style="323" customWidth="1"/>
    <col min="17" max="17" width="20.5859" style="324" customWidth="1"/>
    <col min="18" max="20" width="21.1094" style="324" customWidth="1"/>
    <col min="21" max="16384" width="10.8516" style="324" customWidth="1"/>
  </cols>
  <sheetData>
    <row r="1" ht="97.45" customHeight="1"/>
    <row r="2" ht="20.45" customHeight="1">
      <c r="B2" t="s" s="225">
        <v>79</v>
      </c>
      <c r="C2" t="s" s="226">
        <v>80</v>
      </c>
      <c r="D2" t="s" s="226">
        <v>81</v>
      </c>
      <c r="E2" t="s" s="282">
        <v>82</v>
      </c>
      <c r="F2" s="282"/>
      <c r="G2" s="282"/>
      <c r="H2" s="227"/>
    </row>
    <row r="3" ht="20.45" customHeight="1">
      <c r="B3" s="315">
        <v>46204.100810185184</v>
      </c>
      <c r="C3" t="s" s="230">
        <v>225</v>
      </c>
      <c r="D3" t="s" s="230">
        <v>16</v>
      </c>
      <c r="E3" s="319" cm="1">
        <f t="array" ref="E3">G3*F3</f>
        <v>5.1149958682724</v>
      </c>
      <c r="F3" s="301" cm="1">
        <f t="array" ref="F3">'Budgeting'!$AH$51</f>
        <v>0.858220783267181</v>
      </c>
      <c r="G3" s="302">
        <v>5.96</v>
      </c>
      <c r="H3" t="s" s="303">
        <v>178</v>
      </c>
    </row>
    <row r="4" ht="20.2" customHeight="1">
      <c r="B4" s="306">
        <v>46204.310243055559</v>
      </c>
      <c r="C4" t="s" s="234">
        <v>225</v>
      </c>
      <c r="D4" t="s" s="234">
        <v>16</v>
      </c>
      <c r="E4" s="307" cm="1">
        <f t="array" ref="E4">G4*F4</f>
        <v>41.1001933106653</v>
      </c>
      <c r="F4" s="285" cm="1">
        <f t="array" ref="F4">'Budgeting'!$AH$51</f>
        <v>0.858220783267181</v>
      </c>
      <c r="G4" s="266">
        <v>47.89</v>
      </c>
      <c r="H4" t="s" s="286">
        <v>178</v>
      </c>
    </row>
    <row r="5" ht="20.2" customHeight="1">
      <c r="B5" s="304">
        <v>46204.760104166664</v>
      </c>
      <c r="C5" t="s" s="238">
        <v>198</v>
      </c>
      <c r="D5" t="s" s="238">
        <v>19</v>
      </c>
      <c r="E5" s="305" cm="1">
        <f t="array" ref="E5">G5*F5</f>
        <v>16.057310854929</v>
      </c>
      <c r="F5" s="289" cm="1">
        <f t="array" ref="F5">'Budgeting'!$AH$51</f>
        <v>0.858220783267181</v>
      </c>
      <c r="G5" s="265">
        <v>18.71</v>
      </c>
      <c r="H5" t="s" s="290">
        <v>178</v>
      </c>
    </row>
    <row r="6" ht="20.2" customHeight="1">
      <c r="B6" s="306">
        <v>46205.440694444442</v>
      </c>
      <c r="C6" t="s" s="234">
        <v>341</v>
      </c>
      <c r="D6" t="s" s="234">
        <v>19</v>
      </c>
      <c r="E6" s="307" cm="1">
        <f t="array" ref="E6">G6*F6</f>
        <v>4.445583657324</v>
      </c>
      <c r="F6" s="285" cm="1">
        <f t="array" ref="F6">'Budgeting'!$AH$51</f>
        <v>0.858220783267181</v>
      </c>
      <c r="G6" s="266">
        <v>5.18</v>
      </c>
      <c r="H6" t="s" s="286">
        <v>178</v>
      </c>
    </row>
    <row r="7" ht="20.2" customHeight="1">
      <c r="B7" s="304">
        <v>46205.452789351853</v>
      </c>
      <c r="C7" t="s" s="238">
        <v>207</v>
      </c>
      <c r="D7" t="s" s="238">
        <v>14</v>
      </c>
      <c r="E7" s="305" cm="1">
        <f t="array" ref="E7">G7*F7</f>
        <v>8.6766121188312</v>
      </c>
      <c r="F7" s="289" cm="1">
        <f t="array" ref="F7">'Budgeting'!$AH$51</f>
        <v>0.858220783267181</v>
      </c>
      <c r="G7" s="265">
        <v>10.11</v>
      </c>
      <c r="H7" t="s" s="290">
        <v>178</v>
      </c>
    </row>
    <row r="8" ht="20.2" customHeight="1">
      <c r="B8" s="306">
        <v>46205.754467592589</v>
      </c>
      <c r="C8" t="s" s="234">
        <v>342</v>
      </c>
      <c r="D8" t="s" s="234">
        <v>14</v>
      </c>
      <c r="E8" s="307" cm="1">
        <f t="array" ref="E8">G8*F8</f>
        <v>1.85375689185711</v>
      </c>
      <c r="F8" s="285" cm="1">
        <f t="array" ref="F8">'Budgeting'!$AH$51</f>
        <v>0.858220783267181</v>
      </c>
      <c r="G8" s="266">
        <v>2.16</v>
      </c>
      <c r="H8" t="s" s="286">
        <v>178</v>
      </c>
    </row>
    <row r="9" ht="20.2" customHeight="1">
      <c r="B9" s="304">
        <v>46206.131898148145</v>
      </c>
      <c r="C9" t="s" s="238">
        <v>342</v>
      </c>
      <c r="D9" t="s" s="238">
        <v>14</v>
      </c>
      <c r="E9" s="305" cm="1">
        <f t="array" ref="E9">G9*F9</f>
        <v>1.81084585269375</v>
      </c>
      <c r="F9" s="289" cm="1">
        <f t="array" ref="F9">'Budgeting'!$AH$51</f>
        <v>0.858220783267181</v>
      </c>
      <c r="G9" s="265">
        <v>2.11</v>
      </c>
      <c r="H9" t="s" s="290">
        <v>178</v>
      </c>
    </row>
    <row r="10" ht="20.2" customHeight="1">
      <c r="B10" s="306">
        <v>46206.316493055558</v>
      </c>
      <c r="C10" t="s" s="234">
        <v>308</v>
      </c>
      <c r="D10" t="s" s="234">
        <v>86</v>
      </c>
      <c r="E10" s="307" cm="1">
        <f t="array" ref="E10">G10*F10</f>
        <v>17.1644156653436</v>
      </c>
      <c r="F10" s="285" cm="1">
        <f t="array" ref="F10">'Budgeting'!$AH$51</f>
        <v>0.858220783267181</v>
      </c>
      <c r="G10" s="266">
        <v>20</v>
      </c>
      <c r="H10" t="s" s="286">
        <v>178</v>
      </c>
    </row>
    <row r="11" ht="20.2" customHeight="1">
      <c r="B11" s="304">
        <v>46206.524606481478</v>
      </c>
      <c r="C11" t="s" s="238">
        <v>343</v>
      </c>
      <c r="D11" t="s" s="238">
        <v>20</v>
      </c>
      <c r="E11" s="305" cm="1">
        <f t="array" ref="E11">(G11*F11)-90-89.7</f>
        <v>39.8328763597449</v>
      </c>
      <c r="F11" s="289" cm="1">
        <f t="array" ref="F11">'Budgeting'!$AH$51</f>
        <v>0.858220783267181</v>
      </c>
      <c r="G11" s="265">
        <v>255.8</v>
      </c>
      <c r="H11" t="s" s="290">
        <v>178</v>
      </c>
    </row>
    <row r="12" ht="20.2" customHeight="1">
      <c r="B12" s="306">
        <v>46206.618645833332</v>
      </c>
      <c r="C12" t="s" s="234">
        <v>344</v>
      </c>
      <c r="D12" t="s" s="234">
        <v>19</v>
      </c>
      <c r="E12" s="307" cm="1">
        <f t="array" ref="E12">G12*F12</f>
        <v>2.74630650645498</v>
      </c>
      <c r="F12" s="285" cm="1">
        <f t="array" ref="F12">'Budgeting'!$AH$51</f>
        <v>0.858220783267181</v>
      </c>
      <c r="G12" s="266">
        <v>3.2</v>
      </c>
      <c r="H12" t="s" s="286">
        <v>178</v>
      </c>
    </row>
    <row r="13" ht="20.2" customHeight="1">
      <c r="B13" s="304">
        <v>46206.636851851850</v>
      </c>
      <c r="C13" t="s" s="238">
        <v>345</v>
      </c>
      <c r="D13" t="s" s="238">
        <v>19</v>
      </c>
      <c r="E13" s="305" cm="1">
        <f t="array" ref="E13">G13*F13</f>
        <v>16.5207500778932</v>
      </c>
      <c r="F13" s="289" cm="1">
        <f t="array" ref="F13">'Budgeting'!$AH$51</f>
        <v>0.858220783267181</v>
      </c>
      <c r="G13" s="265">
        <v>19.25</v>
      </c>
      <c r="H13" t="s" s="290">
        <v>178</v>
      </c>
    </row>
    <row r="14" ht="20.2" customHeight="1">
      <c r="B14" s="306">
        <v>46206.642696759256</v>
      </c>
      <c r="C14" t="s" s="234">
        <v>344</v>
      </c>
      <c r="D14" t="s" s="234">
        <v>16</v>
      </c>
      <c r="E14" s="307" cm="1">
        <f t="array" ref="E14">G14*F14</f>
        <v>6.85718405830478</v>
      </c>
      <c r="F14" s="285" cm="1">
        <f t="array" ref="F14">'Budgeting'!$AH$51</f>
        <v>0.858220783267181</v>
      </c>
      <c r="G14" s="266">
        <v>7.99</v>
      </c>
      <c r="H14" t="s" s="286">
        <v>178</v>
      </c>
    </row>
    <row r="15" ht="20.2" customHeight="1">
      <c r="B15" s="304">
        <v>46207.623680555553</v>
      </c>
      <c r="C15" t="s" s="238">
        <v>346</v>
      </c>
      <c r="D15" t="s" s="238">
        <v>16</v>
      </c>
      <c r="E15" s="305" cm="1">
        <f t="array" ref="E15">G15*F15</f>
        <v>17.0957580026822</v>
      </c>
      <c r="F15" s="289" cm="1">
        <f t="array" ref="F15">'Budgeting'!$AH$51</f>
        <v>0.858220783267181</v>
      </c>
      <c r="G15" s="265">
        <v>19.92</v>
      </c>
      <c r="H15" t="s" s="290">
        <v>178</v>
      </c>
    </row>
    <row r="16" ht="20.2" customHeight="1">
      <c r="B16" s="306">
        <v>46208.933506944442</v>
      </c>
      <c r="C16" t="s" s="234">
        <v>347</v>
      </c>
      <c r="D16" t="s" s="234">
        <v>14</v>
      </c>
      <c r="E16" s="307" cm="1">
        <f t="array" ref="E16">G16*F16</f>
        <v>11.1568701824734</v>
      </c>
      <c r="F16" s="285" cm="1">
        <f t="array" ref="F16">'Budgeting'!$AH$51</f>
        <v>0.858220783267181</v>
      </c>
      <c r="G16" s="266">
        <v>13</v>
      </c>
      <c r="H16" t="s" s="234">
        <v>178</v>
      </c>
    </row>
    <row r="17" ht="20.2" customHeight="1">
      <c r="B17" s="304">
        <v>46209.923611111109</v>
      </c>
      <c r="C17" t="s" s="238">
        <v>225</v>
      </c>
      <c r="D17" t="s" s="238">
        <v>16</v>
      </c>
      <c r="E17" s="305" cm="1">
        <f t="array" ref="E17">G17*F17</f>
        <v>2.56608014196887</v>
      </c>
      <c r="F17" s="289" cm="1">
        <f t="array" ref="F17">'Budgeting'!$AH$51</f>
        <v>0.858220783267181</v>
      </c>
      <c r="G17" s="265">
        <v>2.99</v>
      </c>
      <c r="H17" t="s" s="238">
        <v>178</v>
      </c>
    </row>
    <row r="18" ht="20.2" customHeight="1">
      <c r="B18" s="306">
        <v>46209.938125</v>
      </c>
      <c r="C18" t="s" s="234">
        <v>225</v>
      </c>
      <c r="D18" t="s" s="234">
        <v>16</v>
      </c>
      <c r="E18" s="307" cm="1">
        <f t="array" ref="E18">G18*F18</f>
        <v>22.4682201059348</v>
      </c>
      <c r="F18" s="285" cm="1">
        <f t="array" ref="F18">'Budgeting'!$AH$51</f>
        <v>0.858220783267181</v>
      </c>
      <c r="G18" s="266">
        <v>26.18</v>
      </c>
      <c r="H18" t="s" s="234">
        <v>178</v>
      </c>
    </row>
    <row r="19" ht="20.2" customHeight="1">
      <c r="B19" s="304">
        <v>46209.982951388891</v>
      </c>
      <c r="C19" t="s" s="238">
        <v>225</v>
      </c>
      <c r="D19" t="s" s="238">
        <v>16</v>
      </c>
      <c r="E19" s="305" cm="1">
        <f t="array" ref="E19">G19*F19</f>
        <v>3.42430092523605</v>
      </c>
      <c r="F19" s="289" cm="1">
        <f t="array" ref="F19">'Budgeting'!$AH$51</f>
        <v>0.858220783267181</v>
      </c>
      <c r="G19" s="265">
        <v>3.99</v>
      </c>
      <c r="H19" t="s" s="238">
        <v>178</v>
      </c>
    </row>
    <row r="20" ht="20.2" customHeight="1">
      <c r="B20" s="306">
        <v>46210.149212962962</v>
      </c>
      <c r="C20" t="s" s="234">
        <v>225</v>
      </c>
      <c r="D20" t="s" s="234">
        <v>16</v>
      </c>
      <c r="E20" s="307" cm="1">
        <f t="array" ref="E20">G20*F20</f>
        <v>9.33744212194693</v>
      </c>
      <c r="F20" s="285" cm="1">
        <f t="array" ref="F20">'Budgeting'!$AH$51</f>
        <v>0.858220783267181</v>
      </c>
      <c r="G20" s="266">
        <v>10.88</v>
      </c>
      <c r="H20" t="s" s="234">
        <v>178</v>
      </c>
    </row>
    <row r="21" ht="20.2" customHeight="1">
      <c r="B21" s="304">
        <v>46210.889513888891</v>
      </c>
      <c r="C21" t="s" s="238">
        <v>225</v>
      </c>
      <c r="D21" t="s" s="238">
        <v>16</v>
      </c>
      <c r="E21" s="305" cm="1">
        <f t="array" ref="E21">G21*F21</f>
        <v>18.8379461927146</v>
      </c>
      <c r="F21" s="289" cm="1">
        <f t="array" ref="F21">'Budgeting'!$AH$51</f>
        <v>0.858220783267181</v>
      </c>
      <c r="G21" s="265">
        <v>21.95</v>
      </c>
      <c r="H21" t="s" s="238">
        <v>178</v>
      </c>
    </row>
    <row r="22" ht="20.2" customHeight="1">
      <c r="B22" s="306">
        <v>46210.903414351851</v>
      </c>
      <c r="C22" t="s" s="234">
        <v>225</v>
      </c>
      <c r="D22" t="s" s="234">
        <v>16</v>
      </c>
      <c r="E22" s="307" cm="1">
        <f t="array" ref="E22">G22*F22</f>
        <v>3.40713650957071</v>
      </c>
      <c r="F22" s="285" cm="1">
        <f t="array" ref="F22">'Budgeting'!$AH$51</f>
        <v>0.858220783267181</v>
      </c>
      <c r="G22" s="266">
        <v>3.97</v>
      </c>
      <c r="H22" t="s" s="234">
        <v>178</v>
      </c>
    </row>
    <row r="23" ht="20.2" customHeight="1">
      <c r="B23" s="304">
        <v>46210.951331018521</v>
      </c>
      <c r="C23" t="s" s="238">
        <v>230</v>
      </c>
      <c r="D23" t="s" s="238">
        <v>20</v>
      </c>
      <c r="E23" s="305" cm="1">
        <f t="array" ref="E23">G23*F23</f>
        <v>83.8052594860402</v>
      </c>
      <c r="F23" s="289" cm="1">
        <f t="array" ref="F23">'Budgeting'!$AH$51</f>
        <v>0.858220783267181</v>
      </c>
      <c r="G23" s="265">
        <v>97.65000000000001</v>
      </c>
      <c r="H23" t="s" s="238">
        <v>178</v>
      </c>
    </row>
    <row r="24" ht="20.2" customHeight="1">
      <c r="B24" s="306">
        <v>46210.960289351853</v>
      </c>
      <c r="C24" t="s" s="234">
        <v>271</v>
      </c>
      <c r="D24" t="s" s="234">
        <v>102</v>
      </c>
      <c r="E24" s="307" cm="1">
        <f t="array" ref="E24">G24*F24</f>
        <v>4.54857015131606</v>
      </c>
      <c r="F24" s="285" cm="1">
        <f t="array" ref="F24">'Budgeting'!$AH$51</f>
        <v>0.858220783267181</v>
      </c>
      <c r="G24" s="266">
        <v>5.3</v>
      </c>
      <c r="H24" t="s" s="234">
        <v>178</v>
      </c>
    </row>
    <row r="25" ht="20.2" customHeight="1">
      <c r="B25" s="304">
        <v>46211.021620370368</v>
      </c>
      <c r="C25" t="s" s="238">
        <v>225</v>
      </c>
      <c r="D25" t="s" s="238">
        <v>16</v>
      </c>
      <c r="E25" s="305" cm="1">
        <f t="array" ref="E25">G25*F25</f>
        <v>6.60830003115729</v>
      </c>
      <c r="F25" s="289" cm="1">
        <f t="array" ref="F25">'Budgeting'!$AH$51</f>
        <v>0.858220783267181</v>
      </c>
      <c r="G25" s="265">
        <v>7.7</v>
      </c>
      <c r="H25" t="s" s="238">
        <v>178</v>
      </c>
    </row>
    <row r="26" ht="20.2" customHeight="1">
      <c r="B26" s="306">
        <v>46211.626423611109</v>
      </c>
      <c r="C26" t="s" s="234">
        <v>348</v>
      </c>
      <c r="D26" t="s" s="234">
        <v>20</v>
      </c>
      <c r="E26" s="307" cm="1">
        <f t="array" ref="E26">G26*F26</f>
        <v>24.8197450520869</v>
      </c>
      <c r="F26" s="285" cm="1">
        <f t="array" ref="F26">'Budgeting'!$AH$51</f>
        <v>0.858220783267181</v>
      </c>
      <c r="G26" s="266">
        <v>28.92</v>
      </c>
      <c r="H26" t="s" s="234">
        <v>178</v>
      </c>
    </row>
    <row r="27" ht="20.2" customHeight="1">
      <c r="B27" s="304">
        <v>46212.311307870368</v>
      </c>
      <c r="C27" t="s" s="238">
        <v>349</v>
      </c>
      <c r="D27" t="s" s="238">
        <v>14</v>
      </c>
      <c r="E27" s="305" cm="1">
        <f t="array" ref="E27">G27*F27</f>
        <v>6.43665587450386</v>
      </c>
      <c r="F27" s="289" cm="1">
        <f t="array" ref="F27">'Budgeting'!$AH$51</f>
        <v>0.858220783267181</v>
      </c>
      <c r="G27" s="265">
        <v>7.5</v>
      </c>
      <c r="H27" t="s" s="238">
        <v>178</v>
      </c>
    </row>
    <row r="28" ht="20.2" customHeight="1">
      <c r="B28" s="306">
        <v>46212.908576388887</v>
      </c>
      <c r="C28" t="s" s="234">
        <v>350</v>
      </c>
      <c r="D28" t="s" s="234">
        <v>14</v>
      </c>
      <c r="E28" s="307" cm="1">
        <f t="array" ref="E28">G28*F28/4</f>
        <v>5.29951333667484</v>
      </c>
      <c r="F28" s="285" cm="1">
        <f t="array" ref="F28">'Budgeting'!$AH$51</f>
        <v>0.858220783267181</v>
      </c>
      <c r="G28" s="266">
        <v>24.7</v>
      </c>
      <c r="H28" t="s" s="234">
        <v>178</v>
      </c>
    </row>
    <row r="29" ht="20.2" customHeight="1">
      <c r="B29" s="304">
        <v>46213.4759375</v>
      </c>
      <c r="C29" t="s" s="238">
        <v>225</v>
      </c>
      <c r="D29" t="s" s="238">
        <v>16</v>
      </c>
      <c r="E29" s="305" cm="1">
        <f t="array" ref="E29">G29*F29</f>
        <v>7.22621899510966</v>
      </c>
      <c r="F29" s="289" cm="1">
        <f t="array" ref="F29">'Budgeting'!$AH$51</f>
        <v>0.858220783267181</v>
      </c>
      <c r="G29" s="265">
        <v>8.42</v>
      </c>
      <c r="H29" s="267"/>
    </row>
    <row r="30" ht="20.2" customHeight="1">
      <c r="B30" s="306">
        <v>46213.493692129632</v>
      </c>
      <c r="C30" t="s" s="234">
        <v>225</v>
      </c>
      <c r="D30" t="s" s="234">
        <v>16</v>
      </c>
      <c r="E30" s="307" cm="1">
        <f t="array" ref="E30">G30*F30</f>
        <v>25.9011032390035</v>
      </c>
      <c r="F30" s="285" cm="1">
        <f t="array" ref="F30">'Budgeting'!$AH$51</f>
        <v>0.858220783267181</v>
      </c>
      <c r="G30" s="266">
        <v>30.18</v>
      </c>
      <c r="H30" s="268"/>
    </row>
    <row r="31" ht="20.2" customHeight="1">
      <c r="B31" s="304">
        <v>46214.752476851849</v>
      </c>
      <c r="C31" t="s" s="238">
        <v>310</v>
      </c>
      <c r="D31" t="s" s="238">
        <v>20</v>
      </c>
      <c r="E31" s="305" cm="1">
        <f t="array" ref="E31">G31*F31</f>
        <v>25.7466234980154</v>
      </c>
      <c r="F31" s="289" cm="1">
        <f t="array" ref="F31">'Budgeting'!$AH$51</f>
        <v>0.858220783267181</v>
      </c>
      <c r="G31" s="265">
        <v>30</v>
      </c>
      <c r="H31" s="267"/>
    </row>
    <row r="32" ht="20.2" customHeight="1">
      <c r="B32" s="306">
        <v>46215.381759259260</v>
      </c>
      <c r="C32" t="s" s="234">
        <v>349</v>
      </c>
      <c r="D32" t="s" s="234">
        <v>14</v>
      </c>
      <c r="E32" s="307" cm="1">
        <f t="array" ref="E32">G32*F32</f>
        <v>5.79299028705347</v>
      </c>
      <c r="F32" s="285" cm="1">
        <f t="array" ref="F32">'Budgeting'!$AH$51</f>
        <v>0.858220783267181</v>
      </c>
      <c r="G32" s="266">
        <v>6.75</v>
      </c>
      <c r="H32" s="268"/>
    </row>
    <row r="33" ht="26.2" customHeight="1">
      <c r="B33" s="320">
        <v>46203</v>
      </c>
      <c r="C33" t="s" s="321">
        <v>351</v>
      </c>
      <c r="D33" t="s" s="238">
        <v>17</v>
      </c>
      <c r="E33" s="305">
        <v>980</v>
      </c>
      <c r="F33" s="289"/>
      <c r="G33" s="267"/>
      <c r="H33" s="267"/>
    </row>
    <row r="34" ht="20.2" customHeight="1">
      <c r="B34" s="306">
        <v>46215.381759259260</v>
      </c>
      <c r="C34" t="s" s="234">
        <v>352</v>
      </c>
      <c r="D34" t="s" s="234">
        <v>14</v>
      </c>
      <c r="E34" s="307" cm="1">
        <f t="array" ref="E34">G34*F34</f>
        <v>3.64743832888552</v>
      </c>
      <c r="F34" s="285" cm="1">
        <f t="array" ref="F34">'Budgeting'!$AH$51</f>
        <v>0.858220783267181</v>
      </c>
      <c r="G34" s="266">
        <v>4.25</v>
      </c>
      <c r="H34" s="268"/>
    </row>
    <row r="35" ht="20.2" customHeight="1">
      <c r="B35" s="304">
        <v>46215.381759259260</v>
      </c>
      <c r="C35" t="s" s="238">
        <v>353</v>
      </c>
      <c r="D35" t="s" s="238">
        <v>16</v>
      </c>
      <c r="E35" s="305" cm="1">
        <f t="array" ref="E35">G35*F35</f>
        <v>54.994787791761</v>
      </c>
      <c r="F35" s="289" cm="1">
        <f t="array" ref="F35">'Budgeting'!$AH$51</f>
        <v>0.858220783267181</v>
      </c>
      <c r="G35" s="305">
        <v>64.08</v>
      </c>
      <c r="H35" s="267"/>
    </row>
    <row r="36" ht="20.2" customHeight="1">
      <c r="B36" s="306">
        <v>46215.381759259260</v>
      </c>
      <c r="C36" t="s" s="234">
        <v>353</v>
      </c>
      <c r="D36" t="s" s="234">
        <v>16</v>
      </c>
      <c r="E36" s="307" cm="1">
        <f t="array" ref="E36">G36*F36</f>
        <v>7.70682263373929</v>
      </c>
      <c r="F36" s="285" cm="1">
        <f t="array" ref="F36">'Budgeting'!$AH$51</f>
        <v>0.858220783267181</v>
      </c>
      <c r="G36" s="266">
        <v>8.98</v>
      </c>
      <c r="H36" s="268"/>
    </row>
    <row r="37" ht="20.2" customHeight="1">
      <c r="B37" s="304">
        <v>46215.381759259260</v>
      </c>
      <c r="C37" t="s" s="238">
        <v>354</v>
      </c>
      <c r="D37" t="s" s="238">
        <v>16</v>
      </c>
      <c r="E37" s="305" cm="1">
        <f t="array" ref="E37">G37*F37</f>
        <v>11.9464333030792</v>
      </c>
      <c r="F37" s="289" cm="1">
        <f t="array" ref="F37">'Budgeting'!$AH$51</f>
        <v>0.858220783267181</v>
      </c>
      <c r="G37" s="265">
        <v>13.92</v>
      </c>
      <c r="H37" s="267"/>
    </row>
    <row r="38" ht="20.2" customHeight="1">
      <c r="B38" s="306">
        <v>46217.771458333336</v>
      </c>
      <c r="C38" t="s" s="234">
        <v>225</v>
      </c>
      <c r="D38" t="s" s="234">
        <v>16</v>
      </c>
      <c r="E38" s="307" cm="1">
        <f t="array" ref="E38">G38*F38</f>
        <v>7.95570666088677</v>
      </c>
      <c r="F38" s="285" cm="1">
        <f t="array" ref="F38">'Budgeting'!$AH$51</f>
        <v>0.858220783267181</v>
      </c>
      <c r="G38" s="266">
        <v>9.27</v>
      </c>
      <c r="H38" s="268"/>
    </row>
    <row r="39" ht="20.2" customHeight="1">
      <c r="B39" s="304">
        <v>46218.704317129632</v>
      </c>
      <c r="C39" t="s" s="238">
        <v>355</v>
      </c>
      <c r="D39" t="s" s="238">
        <v>14</v>
      </c>
      <c r="E39" s="305" cm="1">
        <f t="array" ref="E39">G39*F39</f>
        <v>8.582207832671809</v>
      </c>
      <c r="F39" s="289" cm="1">
        <f t="array" ref="F39">'Budgeting'!$AH$51</f>
        <v>0.858220783267181</v>
      </c>
      <c r="G39" s="265">
        <v>10</v>
      </c>
      <c r="H39" s="267"/>
    </row>
    <row r="40" ht="20.2" customHeight="1">
      <c r="B40" s="306">
        <v>46218.627569444441</v>
      </c>
      <c r="C40" t="s" s="234">
        <v>225</v>
      </c>
      <c r="D40" t="s" s="234">
        <v>16</v>
      </c>
      <c r="E40" s="307" cm="1">
        <f t="array" ref="E40">G40*F40</f>
        <v>35.0754834121297</v>
      </c>
      <c r="F40" s="285" cm="1">
        <f t="array" ref="F40">'Budgeting'!$AH$51</f>
        <v>0.858220783267181</v>
      </c>
      <c r="G40" s="266">
        <v>40.87</v>
      </c>
      <c r="H40" s="268"/>
    </row>
    <row r="41" ht="20.2" customHeight="1">
      <c r="B41" s="304">
        <v>46219.935717592591</v>
      </c>
      <c r="C41" t="s" s="238">
        <v>323</v>
      </c>
      <c r="D41" t="s" s="238">
        <v>102</v>
      </c>
      <c r="E41" s="305" cm="1">
        <f t="array" ref="E41">G41*F41</f>
        <v>43.7692599466262</v>
      </c>
      <c r="F41" s="289" cm="1">
        <f t="array" ref="F41">'Budgeting'!$AH$51</f>
        <v>0.858220783267181</v>
      </c>
      <c r="G41" s="265">
        <v>51</v>
      </c>
      <c r="H41" s="267"/>
    </row>
    <row r="42" ht="20.2" customHeight="1">
      <c r="B42" s="306">
        <v>46219.786956018521</v>
      </c>
      <c r="C42" t="s" s="234">
        <v>356</v>
      </c>
      <c r="D42" t="s" s="234">
        <v>14</v>
      </c>
      <c r="E42" s="307" cm="1">
        <f t="array" ref="E42">G42*F42</f>
        <v>20.1596061989461</v>
      </c>
      <c r="F42" s="285" cm="1">
        <f t="array" ref="F42">'Budgeting'!$AH$51</f>
        <v>0.858220783267181</v>
      </c>
      <c r="G42" s="266">
        <v>23.49</v>
      </c>
      <c r="H42" s="268"/>
    </row>
    <row r="43" ht="20.2" customHeight="1">
      <c r="B43" s="304">
        <v>46219.784594907411</v>
      </c>
      <c r="C43" t="s" s="238">
        <v>356</v>
      </c>
      <c r="D43" t="s" s="238">
        <v>16</v>
      </c>
      <c r="E43" s="305" cm="1">
        <f t="array" ref="E43">G43*F43</f>
        <v>60.8392713258105</v>
      </c>
      <c r="F43" s="289" cm="1">
        <f t="array" ref="F43">'Budgeting'!$AH$51</f>
        <v>0.858220783267181</v>
      </c>
      <c r="G43" s="265">
        <v>70.89</v>
      </c>
      <c r="H43" s="267"/>
    </row>
    <row r="44" ht="20.2" customHeight="1">
      <c r="B44" s="306">
        <v>46220.174675925926</v>
      </c>
      <c r="C44" t="s" s="234">
        <v>225</v>
      </c>
      <c r="D44" t="s" s="234">
        <v>16</v>
      </c>
      <c r="E44" s="307" cm="1">
        <f t="array" ref="E44">G44*F44</f>
        <v>35.0754834121297</v>
      </c>
      <c r="F44" s="285" cm="1">
        <f t="array" ref="F44">'Budgeting'!$AH$51</f>
        <v>0.858220783267181</v>
      </c>
      <c r="G44" s="266">
        <v>40.87</v>
      </c>
      <c r="H44" s="268"/>
    </row>
    <row r="45" ht="20.2" customHeight="1">
      <c r="B45" s="304">
        <v>46220.174722222226</v>
      </c>
      <c r="C45" t="s" s="238">
        <v>225</v>
      </c>
      <c r="D45" t="s" s="238">
        <v>16</v>
      </c>
      <c r="E45" s="305" cm="1">
        <f t="array" ref="E45">G45*F45</f>
        <v>2.54891572630353</v>
      </c>
      <c r="F45" s="289" cm="1">
        <f t="array" ref="F45">'Budgeting'!$AH$51</f>
        <v>0.858220783267181</v>
      </c>
      <c r="G45" s="265">
        <v>2.97</v>
      </c>
      <c r="H45" s="267"/>
    </row>
    <row r="46" ht="20.2" customHeight="1">
      <c r="B46" s="306">
        <v>46221.503634259258</v>
      </c>
      <c r="C46" t="s" s="234">
        <v>225</v>
      </c>
      <c r="D46" t="s" s="234">
        <v>16</v>
      </c>
      <c r="E46" s="307" cm="1">
        <f t="array" ref="E46">G46*F46</f>
        <v>5.56127067557133</v>
      </c>
      <c r="F46" s="285" cm="1">
        <f t="array" ref="F46">'Budgeting'!$AH$51</f>
        <v>0.858220783267181</v>
      </c>
      <c r="G46" s="266">
        <v>6.48</v>
      </c>
      <c r="H46" s="268"/>
    </row>
    <row r="47" ht="20.2" customHeight="1">
      <c r="B47" s="304">
        <v>46223.398634259262</v>
      </c>
      <c r="C47" t="s" s="238">
        <v>357</v>
      </c>
      <c r="D47" t="s" s="238">
        <v>100</v>
      </c>
      <c r="E47" s="305" cm="1">
        <f t="array" ref="E47">G47*F47</f>
        <v>51.0641366043973</v>
      </c>
      <c r="F47" s="289" cm="1">
        <f t="array" ref="F47">'Budgeting'!$AH$51</f>
        <v>0.858220783267181</v>
      </c>
      <c r="G47" s="265">
        <v>59.5</v>
      </c>
      <c r="H47" t="s" s="238">
        <v>358</v>
      </c>
    </row>
    <row r="48" ht="20.2" customHeight="1">
      <c r="B48" s="306">
        <v>46223.414178240739</v>
      </c>
      <c r="C48" t="s" s="234">
        <v>323</v>
      </c>
      <c r="D48" t="s" s="234">
        <v>102</v>
      </c>
      <c r="E48" s="307" cm="1">
        <f t="array" ref="E48">G48*F48</f>
        <v>133.419002966716</v>
      </c>
      <c r="F48" s="285" cm="1">
        <f t="array" ref="F48">'Budgeting'!$AH$51</f>
        <v>0.858220783267181</v>
      </c>
      <c r="G48" s="266">
        <v>155.46</v>
      </c>
      <c r="H48" s="268"/>
    </row>
    <row r="49" ht="32.2" customHeight="1">
      <c r="B49" s="304">
        <v>46223.466030092590</v>
      </c>
      <c r="C49" t="s" s="238">
        <v>359</v>
      </c>
      <c r="D49" t="s" s="238">
        <v>14</v>
      </c>
      <c r="E49" s="305" cm="1">
        <f t="array" ref="E49">G49*F49</f>
        <v>13.7315325322749</v>
      </c>
      <c r="F49" s="289" cm="1">
        <f t="array" ref="F49">'Budgeting'!$AH$51</f>
        <v>0.858220783267181</v>
      </c>
      <c r="G49" s="265">
        <v>16</v>
      </c>
      <c r="H49" s="267"/>
    </row>
    <row r="50" ht="20.2" customHeight="1">
      <c r="B50" s="306">
        <v>46223.403379629628</v>
      </c>
      <c r="C50" t="s" s="234">
        <v>360</v>
      </c>
      <c r="D50" t="s" s="234">
        <v>100</v>
      </c>
      <c r="E50" s="307" cm="1">
        <f t="array" ref="E50">G50*F50</f>
        <v>8.57362562483914</v>
      </c>
      <c r="F50" s="285" cm="1">
        <f t="array" ref="F50">'Budgeting'!$AH$51</f>
        <v>0.858220783267181</v>
      </c>
      <c r="G50" s="266">
        <v>9.99</v>
      </c>
      <c r="H50" s="268"/>
    </row>
    <row r="51" ht="20.2" customHeight="1">
      <c r="B51" s="304">
        <v>46225.001342592594</v>
      </c>
      <c r="C51" t="s" s="238">
        <v>271</v>
      </c>
      <c r="D51" t="s" s="238">
        <v>102</v>
      </c>
      <c r="E51" s="305" cm="1">
        <f t="array" ref="E51">G51*F51</f>
        <v>27.1111945434102</v>
      </c>
      <c r="F51" s="289" cm="1">
        <f t="array" ref="F51">'Budgeting'!$AH$51</f>
        <v>0.858220783267181</v>
      </c>
      <c r="G51" s="265">
        <v>31.59</v>
      </c>
      <c r="H51" s="267"/>
    </row>
    <row r="52" ht="20.2" customHeight="1">
      <c r="B52" s="306">
        <v>46223.479895833334</v>
      </c>
      <c r="C52" t="s" s="234">
        <v>361</v>
      </c>
      <c r="D52" t="s" s="234">
        <v>100</v>
      </c>
      <c r="E52" s="307" cm="1">
        <f t="array" ref="E52">G52*F52</f>
        <v>16.735305273710</v>
      </c>
      <c r="F52" s="285" cm="1">
        <f t="array" ref="F52">'Budgeting'!$AH$51</f>
        <v>0.858220783267181</v>
      </c>
      <c r="G52" s="266">
        <v>19.5</v>
      </c>
      <c r="H52" s="268"/>
    </row>
    <row r="53" ht="20.2" customHeight="1">
      <c r="B53" s="304">
        <v>46223.473495370374</v>
      </c>
      <c r="C53" t="s" s="238">
        <v>362</v>
      </c>
      <c r="D53" t="s" s="238">
        <v>19</v>
      </c>
      <c r="E53" s="305" cm="1">
        <f t="array" ref="E53">G53*F53</f>
        <v>51.1928697218873</v>
      </c>
      <c r="F53" s="289" cm="1">
        <f t="array" ref="F53">'Budgeting'!$AH$51</f>
        <v>0.858220783267181</v>
      </c>
      <c r="G53" s="265">
        <v>59.65</v>
      </c>
      <c r="H53" s="267"/>
    </row>
    <row r="54" ht="20.2" customHeight="1">
      <c r="B54" s="306">
        <v>46223.984930555554</v>
      </c>
      <c r="C54" t="s" s="234">
        <v>225</v>
      </c>
      <c r="D54" t="s" s="234">
        <v>16</v>
      </c>
      <c r="E54" s="307" cm="1">
        <f t="array" ref="E54">G54*F54</f>
        <v>9.90386783890327</v>
      </c>
      <c r="F54" s="285" cm="1">
        <f t="array" ref="F54">'Budgeting'!$AH$51</f>
        <v>0.858220783267181</v>
      </c>
      <c r="G54" s="266">
        <v>11.54</v>
      </c>
      <c r="H54" s="268"/>
    </row>
    <row r="55" ht="20.2" customHeight="1">
      <c r="B55" s="304">
        <v>46223.993680555555</v>
      </c>
      <c r="C55" t="s" s="238">
        <v>225</v>
      </c>
      <c r="D55" t="s" s="238">
        <v>16</v>
      </c>
      <c r="E55" s="305" cm="1">
        <f t="array" ref="E55">G55*F55</f>
        <v>13.2509288936453</v>
      </c>
      <c r="F55" s="289" cm="1">
        <f t="array" ref="F55">'Budgeting'!$AH$51</f>
        <v>0.858220783267181</v>
      </c>
      <c r="G55" s="265">
        <v>15.44</v>
      </c>
      <c r="H55" s="267"/>
    </row>
    <row r="56" ht="20.2" customHeight="1">
      <c r="B56" s="306">
        <v>46224.177407407406</v>
      </c>
      <c r="C56" t="s" s="234">
        <v>225</v>
      </c>
      <c r="D56" t="s" s="234">
        <v>16</v>
      </c>
      <c r="E56" s="307" cm="1">
        <f t="array" ref="E56">G56*F56</f>
        <v>5.3896265189179</v>
      </c>
      <c r="F56" s="285" cm="1">
        <f t="array" ref="F56">'Budgeting'!$AH$51</f>
        <v>0.858220783267181</v>
      </c>
      <c r="G56" s="266">
        <v>6.28</v>
      </c>
      <c r="H56" s="268"/>
    </row>
    <row r="57" ht="20.2" customHeight="1">
      <c r="B57" s="304">
        <v>46225.37625</v>
      </c>
      <c r="C57" t="s" s="238">
        <v>312</v>
      </c>
      <c r="D57" t="s" s="238">
        <v>102</v>
      </c>
      <c r="E57" s="305" cm="1">
        <f t="array" ref="E57">G57*F57</f>
        <v>27.1197767512429</v>
      </c>
      <c r="F57" s="289" cm="1">
        <f t="array" ref="F57">'Budgeting'!$AH$51</f>
        <v>0.858220783267181</v>
      </c>
      <c r="G57" s="265">
        <v>31.6</v>
      </c>
      <c r="H57" s="267"/>
    </row>
    <row r="58" ht="20.2" customHeight="1">
      <c r="B58" s="306">
        <v>46224.830729166664</v>
      </c>
      <c r="C58" t="s" s="234">
        <v>363</v>
      </c>
      <c r="D58" t="s" s="234">
        <v>100</v>
      </c>
      <c r="E58" s="307" cm="1">
        <f t="array" ref="E58">G58*F58</f>
        <v>117.730727048592</v>
      </c>
      <c r="F58" s="285" cm="1">
        <f t="array" ref="F58">'Budgeting'!$AH$51</f>
        <v>0.858220783267181</v>
      </c>
      <c r="G58" s="266">
        <v>137.18</v>
      </c>
      <c r="H58" s="268"/>
    </row>
    <row r="59" ht="20.2" customHeight="1">
      <c r="B59" s="304">
        <v>46228.342743055553</v>
      </c>
      <c r="C59" t="s" s="238">
        <v>230</v>
      </c>
      <c r="D59" t="s" s="238">
        <v>100</v>
      </c>
      <c r="E59" s="305" cm="1">
        <f t="array" ref="E59">G59*F59</f>
        <v>25.4891572630353</v>
      </c>
      <c r="F59" s="289" cm="1">
        <f t="array" ref="F59">'Budgeting'!$AH$51</f>
        <v>0.858220783267181</v>
      </c>
      <c r="G59" s="265">
        <v>29.7</v>
      </c>
      <c r="H59" t="s" s="238">
        <v>364</v>
      </c>
    </row>
    <row r="60" ht="20.2" customHeight="1">
      <c r="B60" s="306">
        <v>46226.771747685183</v>
      </c>
      <c r="C60" t="s" s="234">
        <v>225</v>
      </c>
      <c r="D60" t="s" s="234">
        <v>16</v>
      </c>
      <c r="E60" s="307" cm="1">
        <f t="array" ref="E60">G60*F60</f>
        <v>23.4637562145247</v>
      </c>
      <c r="F60" s="285" cm="1">
        <f t="array" ref="F60">'Budgeting'!$AH$51</f>
        <v>0.858220783267181</v>
      </c>
      <c r="G60" s="266">
        <v>27.34</v>
      </c>
      <c r="H60" s="268"/>
    </row>
    <row r="61" ht="20.2" customHeight="1">
      <c r="B61" s="304">
        <v>46228.8012962963</v>
      </c>
      <c r="C61" t="s" s="238">
        <v>365</v>
      </c>
      <c r="D61" t="s" s="238">
        <v>14</v>
      </c>
      <c r="E61" s="305" cm="1">
        <f t="array" ref="E61">G61*F61</f>
        <v>8.582207832671809</v>
      </c>
      <c r="F61" s="289" cm="1">
        <f t="array" ref="F61">'Budgeting'!$AH$51</f>
        <v>0.858220783267181</v>
      </c>
      <c r="G61" s="265">
        <v>10</v>
      </c>
      <c r="H61" s="267"/>
    </row>
    <row r="62" ht="20.2" customHeight="1">
      <c r="B62" s="306">
        <v>46228.549537037034</v>
      </c>
      <c r="C62" t="s" s="234">
        <v>366</v>
      </c>
      <c r="D62" t="s" s="234">
        <v>14</v>
      </c>
      <c r="E62" s="307" cm="1">
        <f t="array" ref="E62">G62*F62</f>
        <v>14.3494514962273</v>
      </c>
      <c r="F62" s="285" cm="1">
        <f t="array" ref="F62">'Budgeting'!$AH$51</f>
        <v>0.858220783267181</v>
      </c>
      <c r="G62" s="266">
        <v>16.72</v>
      </c>
      <c r="H62" s="268"/>
    </row>
    <row r="63" ht="20.2" customHeight="1">
      <c r="B63" s="304">
        <v>46229.769675925927</v>
      </c>
      <c r="C63" t="s" s="238">
        <v>367</v>
      </c>
      <c r="D63" t="s" s="238">
        <v>14</v>
      </c>
      <c r="E63" s="305" cm="1">
        <f t="array" ref="E63">G63*F63</f>
        <v>6.32508717267912</v>
      </c>
      <c r="F63" s="289" cm="1">
        <f t="array" ref="F63">'Budgeting'!$AH$51</f>
        <v>0.858220783267181</v>
      </c>
      <c r="G63" s="265">
        <v>7.37</v>
      </c>
      <c r="H63" t="s" s="238">
        <v>177</v>
      </c>
    </row>
    <row r="64" ht="32.2" customHeight="1">
      <c r="B64" s="306">
        <v>46229.9662962963</v>
      </c>
      <c r="C64" t="s" s="234">
        <v>341</v>
      </c>
      <c r="D64" t="s" s="234">
        <v>20</v>
      </c>
      <c r="E64" s="307" cm="1">
        <f t="array" ref="E64">G64*F64</f>
        <v>26.6048442812826</v>
      </c>
      <c r="F64" s="285" cm="1">
        <f t="array" ref="F64">'Budgeting'!$AH$51</f>
        <v>0.858220783267181</v>
      </c>
      <c r="G64" s="266">
        <v>31</v>
      </c>
      <c r="H64" t="s" s="234">
        <v>368</v>
      </c>
    </row>
    <row r="65" ht="20.2" customHeight="1">
      <c r="B65" s="304">
        <v>46227.687627314815</v>
      </c>
      <c r="C65" t="s" s="238">
        <v>340</v>
      </c>
      <c r="D65" t="s" s="238">
        <v>19</v>
      </c>
      <c r="E65" s="305" cm="1">
        <f t="array" ref="E65">G65*F65</f>
        <v>7.08032146195424</v>
      </c>
      <c r="F65" s="289" cm="1">
        <f t="array" ref="F65">'Budgeting'!$AH$51</f>
        <v>0.858220783267181</v>
      </c>
      <c r="G65" s="265">
        <v>8.25</v>
      </c>
      <c r="H65" s="267"/>
    </row>
    <row r="66" ht="20.2" customHeight="1">
      <c r="B66" s="306">
        <v>46228.340625</v>
      </c>
      <c r="C66" t="s" s="234">
        <v>369</v>
      </c>
      <c r="D66" t="s" s="234">
        <v>16</v>
      </c>
      <c r="E66" s="307" cm="1">
        <f t="array" ref="E66">G66*F66</f>
        <v>3.84482910903697</v>
      </c>
      <c r="F66" s="285" cm="1">
        <f t="array" ref="F66">'Budgeting'!$AH$51</f>
        <v>0.858220783267181</v>
      </c>
      <c r="G66" s="266">
        <v>4.48</v>
      </c>
      <c r="H66" s="268"/>
    </row>
    <row r="67" ht="20.2" customHeight="1">
      <c r="B67" s="304">
        <v>46229.756180555552</v>
      </c>
      <c r="C67" t="s" s="238">
        <v>318</v>
      </c>
      <c r="D67" t="s" s="238">
        <v>16</v>
      </c>
      <c r="E67" s="305" cm="1">
        <f t="array" ref="E67">G67*F67</f>
        <v>25.2316910280551</v>
      </c>
      <c r="F67" s="289" cm="1">
        <f t="array" ref="F67">'Budgeting'!$AH$51</f>
        <v>0.858220783267181</v>
      </c>
      <c r="G67" s="265">
        <v>29.4</v>
      </c>
      <c r="H67" s="267"/>
    </row>
    <row r="68" ht="20.2" customHeight="1">
      <c r="B68" s="306">
        <v>46231.548888888887</v>
      </c>
      <c r="C68" t="s" s="234">
        <v>349</v>
      </c>
      <c r="D68" t="s" s="234">
        <v>14</v>
      </c>
      <c r="E68" s="307" cm="1">
        <f t="array" ref="E68">G68*F68</f>
        <v>21.9447054281418</v>
      </c>
      <c r="F68" s="285" cm="1">
        <f t="array" ref="F68">'Budgeting'!$AH$51</f>
        <v>0.858220783267181</v>
      </c>
      <c r="G68" s="266">
        <v>25.57</v>
      </c>
      <c r="H68" t="s" s="234">
        <v>370</v>
      </c>
    </row>
    <row r="69" ht="32.2" customHeight="1">
      <c r="B69" s="304">
        <v>46231.872928240744</v>
      </c>
      <c r="C69" t="s" s="238">
        <v>371</v>
      </c>
      <c r="D69" t="s" s="238">
        <v>102</v>
      </c>
      <c r="E69" s="305" cm="1">
        <f t="array" ref="E69">G69*F69</f>
        <v>62.6501171785042</v>
      </c>
      <c r="F69" s="289" cm="1">
        <f t="array" ref="F69">'Budgeting'!$AH$51</f>
        <v>0.858220783267181</v>
      </c>
      <c r="G69" s="265">
        <v>73</v>
      </c>
      <c r="H69" s="267"/>
    </row>
    <row r="70" ht="20.2" customHeight="1">
      <c r="B70" s="306">
        <v>46231.891701388886</v>
      </c>
      <c r="C70" t="s" s="234">
        <v>225</v>
      </c>
      <c r="D70" t="s" s="234">
        <v>16</v>
      </c>
      <c r="E70" s="307" cm="1">
        <f t="array" ref="E70">G70*F70</f>
        <v>8.779598612823261</v>
      </c>
      <c r="F70" s="285" cm="1">
        <f t="array" ref="F70">'Budgeting'!$AH$51</f>
        <v>0.858220783267181</v>
      </c>
      <c r="G70" s="266">
        <v>10.23</v>
      </c>
      <c r="H70" s="268"/>
    </row>
    <row r="71" ht="20.2" customHeight="1">
      <c r="B71" s="304">
        <v>46232.404432870368</v>
      </c>
      <c r="C71" t="s" s="238">
        <v>372</v>
      </c>
      <c r="D71" t="s" s="238">
        <v>14</v>
      </c>
      <c r="E71" s="305" cm="1">
        <f t="array" ref="E71">G71*F71</f>
        <v>17.1644156653436</v>
      </c>
      <c r="F71" s="289" cm="1">
        <f t="array" ref="F71">'Budgeting'!$AH$51</f>
        <v>0.858220783267181</v>
      </c>
      <c r="G71" s="265">
        <v>20</v>
      </c>
      <c r="H71" s="267"/>
    </row>
    <row r="72" ht="20.2" customHeight="1">
      <c r="B72" s="306">
        <v>46232.853495370371</v>
      </c>
      <c r="C72" t="s" s="234">
        <v>323</v>
      </c>
      <c r="D72" t="s" s="234">
        <v>102</v>
      </c>
      <c r="E72" s="307" cm="1">
        <f t="array" ref="E72">G72*F72</f>
        <v>6.86576626613745</v>
      </c>
      <c r="F72" s="285" cm="1">
        <f t="array" ref="F72">'Budgeting'!$AH$51</f>
        <v>0.858220783267181</v>
      </c>
      <c r="G72" s="266">
        <v>8</v>
      </c>
      <c r="H72" t="s" s="234">
        <v>373</v>
      </c>
    </row>
    <row r="73" ht="20.2" customHeight="1">
      <c r="B73" s="304">
        <v>46232.838009259256</v>
      </c>
      <c r="C73" t="s" s="238">
        <v>374</v>
      </c>
      <c r="D73" t="s" s="238">
        <v>16</v>
      </c>
      <c r="E73" s="305" cm="1">
        <f t="array" ref="E73">G73*F73</f>
        <v>10.0497653720587</v>
      </c>
      <c r="F73" s="289" cm="1">
        <f t="array" ref="F73">'Budgeting'!$AH$51</f>
        <v>0.858220783267181</v>
      </c>
      <c r="G73" s="265">
        <v>11.71</v>
      </c>
      <c r="H73" s="267"/>
    </row>
    <row r="74" ht="20.2" customHeight="1">
      <c r="B74" s="306">
        <v>46231.890601851854</v>
      </c>
      <c r="C74" t="s" s="234">
        <v>225</v>
      </c>
      <c r="D74" t="s" s="234">
        <v>16</v>
      </c>
      <c r="E74" s="307" cm="1">
        <f t="array" ref="E74">G74*F74</f>
        <v>15.6024538397974</v>
      </c>
      <c r="F74" s="285" cm="1">
        <f t="array" ref="F74">'Budgeting'!$AH$51</f>
        <v>0.858220783267181</v>
      </c>
      <c r="G74" s="266">
        <v>18.18</v>
      </c>
      <c r="H74" s="268"/>
    </row>
    <row r="75" ht="20.2" customHeight="1">
      <c r="B75" s="304">
        <v>46231.903402777774</v>
      </c>
      <c r="C75" t="s" s="238">
        <v>225</v>
      </c>
      <c r="D75" t="s" s="238">
        <v>16</v>
      </c>
      <c r="E75" s="305" cm="1">
        <f t="array" ref="E75">G75*F75</f>
        <v>10.616191089015</v>
      </c>
      <c r="F75" s="289" cm="1">
        <f t="array" ref="F75">'Budgeting'!$AH$51</f>
        <v>0.858220783267181</v>
      </c>
      <c r="G75" s="265">
        <v>12.37</v>
      </c>
      <c r="H75" s="267"/>
    </row>
    <row r="76" ht="20.2" customHeight="1">
      <c r="B76" s="306">
        <v>46233.477337962962</v>
      </c>
      <c r="C76" t="s" s="234">
        <v>367</v>
      </c>
      <c r="D76" t="s" s="234">
        <v>14</v>
      </c>
      <c r="E76" s="307" cm="1">
        <f t="array" ref="E76">G76*F76</f>
        <v>14.2979582492312</v>
      </c>
      <c r="F76" s="285" cm="1">
        <f t="array" ref="F76">'Budgeting'!$AH$51</f>
        <v>0.858220783267181</v>
      </c>
      <c r="G76" s="266">
        <v>16.66</v>
      </c>
      <c r="H76" t="s" s="234">
        <v>375</v>
      </c>
    </row>
    <row r="77" ht="20.2" customHeight="1">
      <c r="B77" s="304">
        <v>46233.921435185184</v>
      </c>
      <c r="C77" t="s" s="238">
        <v>365</v>
      </c>
      <c r="D77" t="s" s="238">
        <v>14</v>
      </c>
      <c r="E77" s="305" cm="1">
        <f t="array" ref="E77">G77*F77</f>
        <v>30.1235494926781</v>
      </c>
      <c r="F77" s="289" cm="1">
        <f t="array" ref="F77">'Budgeting'!$AH$51</f>
        <v>0.858220783267181</v>
      </c>
      <c r="G77" s="265">
        <v>35.1</v>
      </c>
      <c r="H77" t="s" s="238">
        <v>376</v>
      </c>
    </row>
    <row r="78" ht="20.2" customHeight="1">
      <c r="B78" s="306">
        <v>46232.341134259259</v>
      </c>
      <c r="C78" t="s" s="234">
        <v>309</v>
      </c>
      <c r="D78" t="s" s="234">
        <v>20</v>
      </c>
      <c r="E78" s="307" cm="1">
        <f t="array" ref="E78">G78*F78</f>
        <v>0.643665587450386</v>
      </c>
      <c r="F78" s="285" cm="1">
        <f t="array" ref="F78">'Budgeting'!$AH$51</f>
        <v>0.858220783267181</v>
      </c>
      <c r="G78" s="266">
        <v>0.75</v>
      </c>
      <c r="H78" s="268"/>
    </row>
    <row r="79" ht="20.2" customHeight="1">
      <c r="B79" s="304">
        <v>46232.471747685187</v>
      </c>
      <c r="C79" t="s" s="238">
        <v>362</v>
      </c>
      <c r="D79" t="s" s="238">
        <v>19</v>
      </c>
      <c r="E79" s="305" cm="1">
        <f t="array" ref="E79">G79*F79</f>
        <v>23.6954758260069</v>
      </c>
      <c r="F79" s="289" cm="1">
        <f t="array" ref="F79">'Budgeting'!$AH$51</f>
        <v>0.858220783267181</v>
      </c>
      <c r="G79" s="265">
        <v>27.61</v>
      </c>
      <c r="H79" s="267"/>
    </row>
    <row r="80" ht="20.2" customHeight="1">
      <c r="B80" s="306">
        <v>46232.703657407408</v>
      </c>
      <c r="C80" t="s" s="234">
        <v>340</v>
      </c>
      <c r="D80" t="s" s="234">
        <v>19</v>
      </c>
      <c r="E80" s="307" cm="1">
        <f t="array" ref="E80">G80*F80</f>
        <v>7.08032146195424</v>
      </c>
      <c r="F80" s="285" cm="1">
        <f t="array" ref="F80">'Budgeting'!$AH$51</f>
        <v>0.858220783267181</v>
      </c>
      <c r="G80" s="266">
        <v>8.25</v>
      </c>
      <c r="H80" s="268"/>
    </row>
    <row r="81" ht="20.2" customHeight="1">
      <c r="B81" s="304">
        <v>46232.919444444444</v>
      </c>
      <c r="C81" t="s" s="238">
        <v>225</v>
      </c>
      <c r="D81" t="s" s="238">
        <v>102</v>
      </c>
      <c r="E81" s="305" cm="1">
        <f t="array" ref="E81">G81*F81</f>
        <v>27.4888116880478</v>
      </c>
      <c r="F81" s="289" cm="1">
        <f t="array" ref="F81">'Budgeting'!$AH$51</f>
        <v>0.858220783267181</v>
      </c>
      <c r="G81" s="265">
        <v>32.03</v>
      </c>
      <c r="H81" s="267"/>
    </row>
    <row r="83" ht="27.65" customHeight="1">
      <c r="I83" t="s" s="2">
        <v>377</v>
      </c>
      <c r="J83" s="2"/>
      <c r="K83" s="2"/>
      <c r="L83" s="2"/>
    </row>
    <row r="84" ht="23.65" customHeight="1">
      <c r="I84" t="s" s="225">
        <v>81</v>
      </c>
      <c r="J84" t="s" s="226">
        <v>108</v>
      </c>
      <c r="K84" t="s" s="226">
        <v>2</v>
      </c>
      <c r="L84" t="s" s="245">
        <v>109</v>
      </c>
    </row>
    <row r="85" ht="20.45" customHeight="1">
      <c r="I85" t="s" s="246">
        <v>14</v>
      </c>
      <c r="J85" s="247" cm="1">
        <f t="array" ref="J85">'Budgeting'!H3</f>
        <v>174</v>
      </c>
      <c r="K85" s="248" cm="1">
        <f t="array" ref="K85">SUMIF(D3:D81,$I85,E3:E81)</f>
        <v>199.935404773839</v>
      </c>
      <c r="L85" s="248" cm="1">
        <f t="array" ref="L85">J85-K85</f>
        <v>-25.935404773839</v>
      </c>
    </row>
    <row r="86" ht="20.2" customHeight="1">
      <c r="I86" t="s" s="249">
        <v>15</v>
      </c>
      <c r="J86" s="250" cm="1">
        <f t="array" ref="J86">'Budgeting'!H4</f>
        <v>0</v>
      </c>
      <c r="K86" s="241" cm="1">
        <f t="array" ref="K86">SUMIF(D3:D81,$I86,E3:E81)</f>
        <v>0</v>
      </c>
      <c r="L86" s="241" cm="1">
        <f t="array" ref="L86">J86-K86</f>
        <v>0</v>
      </c>
    </row>
    <row r="87" ht="20.2" customHeight="1">
      <c r="I87" t="s" s="249">
        <v>16</v>
      </c>
      <c r="J87" s="250" cm="1">
        <f t="array" ref="J87">'Budgeting'!H5</f>
        <v>356.7</v>
      </c>
      <c r="K87" s="243" cm="1">
        <f t="array" ref="K87">SUMIF(D3:D81,$I87,E3:E81)</f>
        <v>517.7817629607561</v>
      </c>
      <c r="L87" s="243" cm="1">
        <f t="array" ref="L87">J87-K87</f>
        <v>-161.081762960756</v>
      </c>
    </row>
    <row r="88" ht="20.2" customHeight="1">
      <c r="I88" t="s" s="249">
        <v>17</v>
      </c>
      <c r="J88" s="250" cm="1">
        <f t="array" ref="J88">'Budgeting'!H6</f>
        <v>1000</v>
      </c>
      <c r="K88" s="241" cm="1">
        <f t="array" ref="K88">SUMIF(D3:D81,$I88,E3:E81)</f>
        <v>980</v>
      </c>
      <c r="L88" s="241" cm="1">
        <f t="array" ref="L88">J88-K88</f>
        <v>20</v>
      </c>
    </row>
    <row r="89" ht="20.2" customHeight="1">
      <c r="I89" t="s" s="249">
        <v>18</v>
      </c>
      <c r="J89" s="250" cm="1">
        <f t="array" ref="J89">'Budgeting'!H7</f>
        <v>0</v>
      </c>
      <c r="K89" s="243" cm="1">
        <f t="array" ref="K89">SUMIF(D3:D81,$I89,E3:E81)</f>
        <v>0</v>
      </c>
      <c r="L89" s="243" cm="1">
        <f t="array" ref="L89">J89-K89</f>
        <v>0</v>
      </c>
    </row>
    <row r="90" ht="20.2" customHeight="1">
      <c r="I90" t="s" s="249">
        <v>19</v>
      </c>
      <c r="J90" s="250" cm="1">
        <f t="array" ref="J90">'Budgeting'!H8</f>
        <v>0</v>
      </c>
      <c r="K90" s="241" cm="1">
        <f t="array" ref="K90">SUMIF(D3:D81,$I90,E3:E81)</f>
        <v>128.818939568404</v>
      </c>
      <c r="L90" s="241" cm="1">
        <f t="array" ref="L90">J90-K90</f>
        <v>-128.818939568404</v>
      </c>
    </row>
    <row r="91" ht="20.2" customHeight="1">
      <c r="I91" t="s" s="249">
        <v>20</v>
      </c>
      <c r="J91" s="250" cm="1">
        <f t="array" ref="J91">'Budgeting'!H9</f>
        <v>348</v>
      </c>
      <c r="K91" s="243" cm="1">
        <f t="array" ref="K91">SUMIF(D3:D81,$I91,E3:E81)</f>
        <v>201.453014264620</v>
      </c>
      <c r="L91" s="243" cm="1">
        <f t="array" ref="L91">J91-K91</f>
        <v>146.546985735380</v>
      </c>
    </row>
    <row r="92" ht="20.2" customHeight="1">
      <c r="I92" t="s" s="249">
        <v>86</v>
      </c>
      <c r="J92" s="250" cm="1">
        <f t="array" ref="J92">'Budgeting'!H10</f>
        <v>81.78</v>
      </c>
      <c r="K92" s="241" cm="1">
        <f t="array" ref="K92">SUMIF(D3:D81,$I92,E3:E81)</f>
        <v>17.1644156653436</v>
      </c>
      <c r="L92" s="241" cm="1">
        <f t="array" ref="L92">J92-K92</f>
        <v>64.6155843346564</v>
      </c>
    </row>
    <row r="93" ht="20.2" customHeight="1">
      <c r="I93" t="s" s="249">
        <v>22</v>
      </c>
      <c r="J93" s="250" cm="1">
        <f t="array" ref="J93">'Budgeting'!H11</f>
        <v>108.75</v>
      </c>
      <c r="K93" s="243" cm="1">
        <f t="array" ref="K93">SUMIF(D3:D81,$I93,E3:E81)</f>
        <v>0</v>
      </c>
      <c r="L93" s="243" cm="1">
        <f t="array" ref="L93">J93-K93</f>
        <v>108.75</v>
      </c>
    </row>
    <row r="94" ht="20.45" customHeight="1">
      <c r="I94" t="s" s="251">
        <v>23</v>
      </c>
      <c r="J94" s="252" cm="1">
        <f t="array" ref="J94">'Budgeting'!H12</f>
        <v>0</v>
      </c>
      <c r="K94" s="257" cm="1">
        <f t="array" ref="K94">SUMIF(D3:D81,$I94,E3:E81)</f>
        <v>0</v>
      </c>
      <c r="L94" s="257" cm="1">
        <f t="array" ref="L94">J94-K94</f>
        <v>0</v>
      </c>
    </row>
    <row r="95" ht="20.45" customHeight="1">
      <c r="I95" t="s" s="254">
        <v>24</v>
      </c>
      <c r="J95" s="255" cm="1">
        <f t="array" ref="J95">SUM(J85:J94)</f>
        <v>2069.23</v>
      </c>
      <c r="K95" s="255" cm="1">
        <f t="array" ref="K95">SUM(K85:K94)</f>
        <v>2045.153537232960</v>
      </c>
      <c r="L95" s="255" cm="1">
        <f t="array" ref="L95">J95-K95</f>
        <v>24.076462767040</v>
      </c>
    </row>
    <row r="97" ht="27.65" customHeight="1">
      <c r="M97" t="s" s="2">
        <v>107</v>
      </c>
      <c r="N97" s="2"/>
      <c r="O97" s="2"/>
      <c r="P97" s="2"/>
    </row>
    <row r="98" ht="23.65" customHeight="1">
      <c r="M98" t="s" s="225">
        <v>81</v>
      </c>
      <c r="N98" t="s" s="226">
        <v>108</v>
      </c>
      <c r="O98" t="s" s="226">
        <v>2</v>
      </c>
      <c r="P98" t="s" s="245">
        <v>109</v>
      </c>
    </row>
    <row r="99" ht="20.45" customHeight="1">
      <c r="M99" t="s" s="246">
        <v>14</v>
      </c>
      <c r="N99" s="247" cm="1">
        <f t="array" ref="N99">'Budgeting'!H3</f>
        <v>174</v>
      </c>
      <c r="O99" s="248" cm="1">
        <f t="array" ref="O99">SUMIF(D3:D81,$M99,E3:E81)</f>
        <v>199.935404773839</v>
      </c>
      <c r="P99" s="248" cm="1">
        <f t="array" ref="P99">N99-O99</f>
        <v>-25.935404773839</v>
      </c>
    </row>
    <row r="100" ht="20.2" customHeight="1">
      <c r="M100" t="s" s="249">
        <v>15</v>
      </c>
      <c r="N100" s="250" cm="1">
        <f t="array" ref="N100">'Budgeting'!H4</f>
        <v>0</v>
      </c>
      <c r="O100" s="241" cm="1">
        <f t="array" ref="O100">SUMIF(D3:D81,$M100,E3:E81)</f>
        <v>0</v>
      </c>
      <c r="P100" s="241" cm="1">
        <f t="array" ref="P100">N100-O100</f>
        <v>0</v>
      </c>
    </row>
    <row r="101" ht="20.2" customHeight="1">
      <c r="M101" t="s" s="249">
        <v>16</v>
      </c>
      <c r="N101" s="250" cm="1">
        <f t="array" ref="N101">'Budgeting'!H5</f>
        <v>356.7</v>
      </c>
      <c r="O101" s="243" cm="1">
        <f t="array" ref="O101">SUMIF(D3:D81,$M101,E3:E81)</f>
        <v>517.7817629607561</v>
      </c>
      <c r="P101" s="243" cm="1">
        <f t="array" ref="P101">N101-O101</f>
        <v>-161.081762960756</v>
      </c>
    </row>
    <row r="102" ht="20.2" customHeight="1">
      <c r="M102" t="s" s="249">
        <v>17</v>
      </c>
      <c r="N102" s="250" cm="1">
        <f t="array" ref="N102">'Budgeting'!H6</f>
        <v>1000</v>
      </c>
      <c r="O102" s="241" cm="1">
        <f t="array" ref="O102">SUMIF(D3:D81,$M102,E3:E81)</f>
        <v>980</v>
      </c>
      <c r="P102" s="241" cm="1">
        <f t="array" ref="P102">N102-O102</f>
        <v>20</v>
      </c>
    </row>
    <row r="103" ht="20.2" customHeight="1">
      <c r="M103" t="s" s="249">
        <v>18</v>
      </c>
      <c r="N103" s="250" cm="1">
        <f t="array" ref="N103">'Budgeting'!H7</f>
        <v>0</v>
      </c>
      <c r="O103" s="243" cm="1">
        <f t="array" ref="O103">SUMIF(D3:D81,$M103,E3:E81)</f>
        <v>0</v>
      </c>
      <c r="P103" s="243" cm="1">
        <f t="array" ref="P103">N103-O103</f>
        <v>0</v>
      </c>
    </row>
    <row r="104" ht="20.2" customHeight="1">
      <c r="M104" t="s" s="249">
        <v>19</v>
      </c>
      <c r="N104" s="250" cm="1">
        <f t="array" ref="N104">'Budgeting'!H8</f>
        <v>0</v>
      </c>
      <c r="O104" s="241" cm="1">
        <f t="array" ref="O104">SUMIF(D3:D81,$M104,E3:E81)</f>
        <v>128.818939568404</v>
      </c>
      <c r="P104" s="241" cm="1">
        <f t="array" ref="P104">N104-O104</f>
        <v>-128.818939568404</v>
      </c>
    </row>
    <row r="105" ht="20.2" customHeight="1">
      <c r="M105" t="s" s="249">
        <v>20</v>
      </c>
      <c r="N105" s="250" cm="1">
        <f t="array" ref="N105">'Budgeting'!H9</f>
        <v>348</v>
      </c>
      <c r="O105" s="243" cm="1">
        <f t="array" ref="O105">SUMIF(D3:D81,$M105,E3:E81)</f>
        <v>201.453014264620</v>
      </c>
      <c r="P105" s="243" cm="1">
        <f t="array" ref="P105">N105-O105</f>
        <v>146.546985735380</v>
      </c>
    </row>
    <row r="106" ht="20.2" customHeight="1">
      <c r="M106" t="s" s="249">
        <v>86</v>
      </c>
      <c r="N106" s="250" cm="1">
        <f t="array" ref="N106">'Budgeting'!H10</f>
        <v>81.78</v>
      </c>
      <c r="O106" s="241" cm="1">
        <f t="array" ref="O106">SUMIF(D3:D81,$M106,E3:E81)</f>
        <v>17.1644156653436</v>
      </c>
      <c r="P106" s="241" cm="1">
        <f t="array" ref="P106">N106-O106</f>
        <v>64.6155843346564</v>
      </c>
    </row>
    <row r="107" ht="20.2" customHeight="1">
      <c r="M107" t="s" s="249">
        <v>22</v>
      </c>
      <c r="N107" s="250" cm="1">
        <f t="array" ref="N107">'Budgeting'!H11</f>
        <v>108.75</v>
      </c>
      <c r="O107" s="243" cm="1">
        <f t="array" ref="O107">SUMIF(D3:D81,$M107,E3:E81)</f>
        <v>0</v>
      </c>
      <c r="P107" s="243" cm="1">
        <f t="array" ref="P107">N107-O107</f>
        <v>108.75</v>
      </c>
    </row>
    <row r="108" ht="20.45" customHeight="1">
      <c r="M108" t="s" s="251">
        <v>23</v>
      </c>
      <c r="N108" s="252" cm="1">
        <f t="array" ref="N108">'Budgeting'!H12</f>
        <v>0</v>
      </c>
      <c r="O108" s="257" cm="1">
        <f t="array" ref="O108">SUMIF(D3:D81,$M108,E3:E81)</f>
        <v>0</v>
      </c>
      <c r="P108" s="257" cm="1">
        <f t="array" ref="P108">N108-O108</f>
        <v>0</v>
      </c>
    </row>
    <row r="109" ht="20.45" customHeight="1">
      <c r="M109" t="s" s="254">
        <v>24</v>
      </c>
      <c r="N109" s="255" cm="1">
        <f t="array" ref="N109">SUM(N99:N108)</f>
        <v>2069.23</v>
      </c>
      <c r="O109" s="255" cm="1">
        <f t="array" ref="O109">SUM(O99:O108)</f>
        <v>2045.153537232960</v>
      </c>
      <c r="P109" s="255" cm="1">
        <f t="array" ref="P109">N109-O109</f>
        <v>24.076462767040</v>
      </c>
    </row>
    <row r="111" ht="27.65" customHeight="1">
      <c r="Q111" t="s" s="2">
        <v>110</v>
      </c>
      <c r="R111" s="2"/>
      <c r="S111" s="2"/>
      <c r="T111" s="2"/>
    </row>
    <row r="112" ht="23.65" customHeight="1">
      <c r="Q112" t="s" s="225">
        <v>81</v>
      </c>
      <c r="R112" t="s" s="226">
        <v>108</v>
      </c>
      <c r="S112" t="s" s="226">
        <v>2</v>
      </c>
      <c r="T112" t="s" s="245">
        <v>109</v>
      </c>
    </row>
    <row r="113" ht="20.45" customHeight="1">
      <c r="Q113" t="s" s="246">
        <v>105</v>
      </c>
      <c r="R113" s="247">
        <v>0</v>
      </c>
      <c r="S113" s="248" cm="1">
        <f t="array" ref="S113">SUMIF(D3:D81,$Q113,E3:E81)</f>
        <v>0</v>
      </c>
      <c r="T113" s="248" cm="1">
        <f t="array" ref="T113">S113-R113</f>
        <v>0</v>
      </c>
    </row>
    <row r="114" ht="20.45" customHeight="1">
      <c r="Q114" t="s" s="251">
        <v>102</v>
      </c>
      <c r="R114" s="252">
        <v>0</v>
      </c>
      <c r="S114" s="257" cm="1">
        <f t="array" ref="S114">SUMIF(D3:D81,$Q114,E3:E81)</f>
        <v>332.972499492001</v>
      </c>
      <c r="T114" s="257" cm="1">
        <f t="array" ref="T114">S114+R114</f>
        <v>332.972499492001</v>
      </c>
    </row>
    <row r="115" ht="20.45" customHeight="1">
      <c r="Q115" t="s" s="254">
        <v>24</v>
      </c>
      <c r="R115" s="255" cm="1">
        <f t="array" ref="R115">SUM(R113:R114)</f>
        <v>0</v>
      </c>
      <c r="S115" s="255" cm="1">
        <f t="array" ref="S115">SUM(S113:S114)</f>
        <v>332.972499492001</v>
      </c>
      <c r="T115" s="255" cm="1">
        <f t="array" ref="T115">S115-R$115</f>
        <v>332.972499492001</v>
      </c>
    </row>
  </sheetData>
  <mergeCells count="3">
    <mergeCell ref="I83:L83"/>
    <mergeCell ref="M97:P97"/>
    <mergeCell ref="Q111:T111"/>
  </mergeCells>
  <dataValidations count="1">
    <dataValidation type="list" allowBlank="1" showInputMessage="1" showErrorMessage="1" sqref="D3:D81">
      <formula1>"Restaurant,Entertainment,Travel &amp; auto,Utilities &amp; subscriptions,Sport &amp; activities,Food,Home,Medical,Personal Items,Other, ,Salary,Other/donations"</formula1>
    </dataValidation>
  </dataValidations>
  <hyperlinks>
    <hyperlink ref="C31" r:id="rId1" location="" tooltip="" display="Recreation,gov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2"/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B2:M48"/>
  <sheetViews>
    <sheetView workbookViewId="0" showGridLines="0" defaultGridColor="1"/>
  </sheetViews>
  <sheetFormatPr defaultColWidth="10.8333" defaultRowHeight="19.9" customHeight="1" outlineLevelRow="0" outlineLevelCol="0"/>
  <cols>
    <col min="1" max="1" width="92.5312" style="325" customWidth="1"/>
    <col min="2" max="2" width="10.8359" style="325" customWidth="1"/>
    <col min="3" max="3" width="31.2266" style="325" customWidth="1"/>
    <col min="4" max="5" width="20.9219" style="325" customWidth="1"/>
    <col min="6" max="6" width="20.5859" style="330" customWidth="1"/>
    <col min="7" max="9" width="21.1094" style="330" customWidth="1"/>
    <col min="10" max="10" width="20.5859" style="331" customWidth="1"/>
    <col min="11" max="13" width="21.1094" style="331" customWidth="1"/>
    <col min="14" max="16384" width="10.8516" style="331" customWidth="1"/>
  </cols>
  <sheetData>
    <row r="1" ht="86" customHeight="1"/>
    <row r="2" ht="20.45" customHeight="1">
      <c r="B2" t="s" s="225">
        <v>79</v>
      </c>
      <c r="C2" t="s" s="226">
        <v>80</v>
      </c>
      <c r="D2" t="s" s="226">
        <v>81</v>
      </c>
      <c r="E2" t="s" s="227">
        <v>82</v>
      </c>
    </row>
    <row r="3" ht="20.45" customHeight="1">
      <c r="B3" s="326"/>
      <c r="C3" s="327"/>
      <c r="D3" s="230"/>
      <c r="E3" s="326"/>
    </row>
    <row r="4" ht="20.2" customHeight="1">
      <c r="B4" s="328"/>
      <c r="C4" s="311"/>
      <c r="D4" s="234"/>
      <c r="E4" s="328"/>
    </row>
    <row r="5" ht="20.2" customHeight="1">
      <c r="B5" s="329"/>
      <c r="C5" s="310"/>
      <c r="D5" s="238"/>
      <c r="E5" s="329"/>
    </row>
    <row r="6" ht="20.2" customHeight="1">
      <c r="B6" s="328"/>
      <c r="C6" s="311"/>
      <c r="D6" s="234"/>
      <c r="E6" s="328"/>
    </row>
    <row r="7" ht="20.2" customHeight="1">
      <c r="B7" s="329"/>
      <c r="C7" s="310"/>
      <c r="D7" s="238"/>
      <c r="E7" s="329"/>
    </row>
    <row r="8" ht="20.2" customHeight="1">
      <c r="B8" s="328"/>
      <c r="C8" s="311"/>
      <c r="D8" s="234"/>
      <c r="E8" s="328"/>
    </row>
    <row r="9" ht="20.2" customHeight="1">
      <c r="B9" s="329"/>
      <c r="C9" s="310"/>
      <c r="D9" s="238"/>
      <c r="E9" s="329"/>
    </row>
    <row r="10" ht="20.2" customHeight="1">
      <c r="B10" s="328"/>
      <c r="C10" s="311"/>
      <c r="D10" s="234"/>
      <c r="E10" s="328"/>
    </row>
    <row r="11" ht="20.2" customHeight="1">
      <c r="B11" s="329"/>
      <c r="C11" s="310"/>
      <c r="D11" s="238"/>
      <c r="E11" s="329"/>
    </row>
    <row r="12" ht="20.2" customHeight="1">
      <c r="B12" s="328"/>
      <c r="C12" s="311"/>
      <c r="D12" s="234"/>
      <c r="E12" s="328"/>
    </row>
    <row r="13" ht="20.2" customHeight="1">
      <c r="B13" s="329"/>
      <c r="C13" s="310"/>
      <c r="D13" s="238"/>
      <c r="E13" s="329"/>
    </row>
    <row r="14" ht="20.2" customHeight="1">
      <c r="B14" s="328"/>
      <c r="C14" s="311"/>
      <c r="D14" s="234"/>
      <c r="E14" s="328"/>
    </row>
    <row r="15" ht="20.2" customHeight="1">
      <c r="B15" s="329"/>
      <c r="C15" s="310"/>
      <c r="D15" s="238"/>
      <c r="E15" s="329"/>
    </row>
    <row r="16" ht="20.2" customHeight="1">
      <c r="B16" s="240"/>
      <c r="C16" s="234"/>
      <c r="D16" t="s" s="234">
        <v>106</v>
      </c>
      <c r="E16" s="241"/>
    </row>
    <row r="17" ht="20.2" customHeight="1">
      <c r="B17" s="242"/>
      <c r="C17" s="238"/>
      <c r="D17" t="s" s="238">
        <v>106</v>
      </c>
      <c r="E17" s="243"/>
    </row>
    <row r="18" ht="20.2" customHeight="1">
      <c r="B18" s="240"/>
      <c r="C18" s="234"/>
      <c r="D18" t="s" s="234">
        <v>106</v>
      </c>
      <c r="E18" s="241"/>
    </row>
    <row r="19" ht="20.2" customHeight="1">
      <c r="B19" s="242"/>
      <c r="C19" s="238"/>
      <c r="D19" t="s" s="238">
        <v>106</v>
      </c>
      <c r="E19" s="243"/>
    </row>
    <row r="20" ht="20.2" customHeight="1">
      <c r="B20" s="240"/>
      <c r="C20" s="234"/>
      <c r="D20" t="s" s="234">
        <v>106</v>
      </c>
      <c r="E20" s="241"/>
    </row>
    <row r="21" ht="20.2" customHeight="1">
      <c r="B21" s="242"/>
      <c r="C21" s="238"/>
      <c r="D21" t="s" s="238">
        <v>106</v>
      </c>
      <c r="E21" s="243"/>
    </row>
    <row r="22" ht="20.2" customHeight="1">
      <c r="B22" s="240"/>
      <c r="C22" s="234"/>
      <c r="D22" t="s" s="234">
        <v>106</v>
      </c>
      <c r="E22" s="241"/>
    </row>
    <row r="23" ht="20.2" customHeight="1">
      <c r="B23" s="242"/>
      <c r="C23" s="238"/>
      <c r="D23" t="s" s="238">
        <v>106</v>
      </c>
      <c r="E23" s="243"/>
    </row>
    <row r="24" ht="20.2" customHeight="1">
      <c r="B24" s="240"/>
      <c r="C24" s="234"/>
      <c r="D24" t="s" s="234">
        <v>106</v>
      </c>
      <c r="E24" s="241"/>
    </row>
    <row r="25" ht="20.2" customHeight="1">
      <c r="B25" s="242"/>
      <c r="C25" s="238"/>
      <c r="D25" t="s" s="238">
        <v>106</v>
      </c>
      <c r="E25" s="243"/>
    </row>
    <row r="26" ht="20.2" customHeight="1">
      <c r="B26" s="240"/>
      <c r="C26" s="234"/>
      <c r="D26" t="s" s="234">
        <v>106</v>
      </c>
      <c r="E26" s="241"/>
    </row>
    <row r="27" ht="20.2" customHeight="1">
      <c r="B27" s="242"/>
      <c r="C27" s="238"/>
      <c r="D27" t="s" s="238">
        <v>106</v>
      </c>
      <c r="E27" s="243"/>
    </row>
    <row r="28" ht="20.2" customHeight="1">
      <c r="B28" s="240"/>
      <c r="C28" s="234"/>
      <c r="D28" t="s" s="234">
        <v>106</v>
      </c>
      <c r="E28" s="241"/>
    </row>
    <row r="30" ht="27.65" customHeight="1">
      <c r="F30" t="s" s="2">
        <v>107</v>
      </c>
      <c r="G30" s="2"/>
      <c r="H30" s="2"/>
      <c r="I30" s="2"/>
    </row>
    <row r="31" ht="23.65" customHeight="1">
      <c r="F31" t="s" s="225">
        <v>81</v>
      </c>
      <c r="G31" t="s" s="226">
        <v>108</v>
      </c>
      <c r="H31" t="s" s="226">
        <v>2</v>
      </c>
      <c r="I31" t="s" s="245">
        <v>109</v>
      </c>
    </row>
    <row r="32" ht="20.45" customHeight="1">
      <c r="F32" t="s" s="246">
        <v>14</v>
      </c>
      <c r="G32" s="247" cm="1">
        <f t="array" ref="G32">'Budgeting'!I3</f>
        <v>139.2</v>
      </c>
      <c r="H32" s="248" cm="1">
        <f t="array" ref="H32">SUMIF(D3:D28,$F32,E3:E28)</f>
        <v>0</v>
      </c>
      <c r="I32" s="248" cm="1">
        <f t="array" ref="I32">G32-H32</f>
        <v>139.2</v>
      </c>
    </row>
    <row r="33" ht="20.2" customHeight="1">
      <c r="F33" t="s" s="249">
        <v>15</v>
      </c>
      <c r="G33" s="250" cm="1">
        <f t="array" ref="G33">'Budgeting'!I4</f>
        <v>0</v>
      </c>
      <c r="H33" s="241" cm="1">
        <f t="array" ref="H33">SUMIF(D3:D28,$F33,E3:E28)</f>
        <v>0</v>
      </c>
      <c r="I33" s="241" cm="1">
        <f t="array" ref="I33">G33-H33</f>
        <v>0</v>
      </c>
    </row>
    <row r="34" ht="20.2" customHeight="1">
      <c r="F34" t="s" s="249">
        <v>16</v>
      </c>
      <c r="G34" s="250" cm="1">
        <f t="array" ref="G34">'Budgeting'!I5</f>
        <v>287.1</v>
      </c>
      <c r="H34" s="243" cm="1">
        <f t="array" ref="H34">SUMIF(D3:D28,$F34,E3:E28)</f>
        <v>0</v>
      </c>
      <c r="I34" s="243" cm="1">
        <f t="array" ref="I34">G34-H34</f>
        <v>287.1</v>
      </c>
    </row>
    <row r="35" ht="20.2" customHeight="1">
      <c r="F35" t="s" s="249">
        <v>17</v>
      </c>
      <c r="G35" s="250" cm="1">
        <f t="array" ref="G35">'Budgeting'!I6</f>
        <v>1000</v>
      </c>
      <c r="H35" s="241" cm="1">
        <f t="array" ref="H35">SUMIF(D3:D28,$F35,E3:E28)</f>
        <v>0</v>
      </c>
      <c r="I35" s="241" cm="1">
        <f t="array" ref="I35">G35-H35</f>
        <v>1000</v>
      </c>
    </row>
    <row r="36" ht="20.2" customHeight="1">
      <c r="F36" t="s" s="249">
        <v>18</v>
      </c>
      <c r="G36" s="250" cm="1">
        <f t="array" ref="G36">'Budgeting'!I7</f>
        <v>0</v>
      </c>
      <c r="H36" s="243" cm="1">
        <f t="array" ref="H36">SUMIF(D3:D28,$F36,E3:E28)</f>
        <v>0</v>
      </c>
      <c r="I36" s="243" cm="1">
        <f t="array" ref="I36">G36-H36</f>
        <v>0</v>
      </c>
    </row>
    <row r="37" ht="20.2" customHeight="1">
      <c r="F37" t="s" s="249">
        <v>19</v>
      </c>
      <c r="G37" s="250" cm="1">
        <f t="array" ref="G37">'Budgeting'!I8</f>
        <v>0</v>
      </c>
      <c r="H37" s="241" cm="1">
        <f t="array" ref="H37">SUMIF(D3:D28,$F37,E3:E28)</f>
        <v>0</v>
      </c>
      <c r="I37" s="241" cm="1">
        <f t="array" ref="I37">G37-H37</f>
        <v>0</v>
      </c>
    </row>
    <row r="38" ht="20.2" customHeight="1">
      <c r="F38" t="s" s="249">
        <v>20</v>
      </c>
      <c r="G38" s="250" cm="1">
        <f t="array" ref="G38">'Budgeting'!I9</f>
        <v>278.4</v>
      </c>
      <c r="H38" s="243" cm="1">
        <f t="array" ref="H38">SUMIF(D3:D28,$F38,E3:E28)</f>
        <v>0</v>
      </c>
      <c r="I38" s="243" cm="1">
        <f t="array" ref="I38">G38-H38</f>
        <v>278.4</v>
      </c>
    </row>
    <row r="39" ht="20.2" customHeight="1">
      <c r="F39" t="s" s="249">
        <v>86</v>
      </c>
      <c r="G39" s="250" cm="1">
        <f t="array" ref="G39">'Budgeting'!I10</f>
        <v>81.78</v>
      </c>
      <c r="H39" s="241" cm="1">
        <f t="array" ref="H39">SUMIF(D3:D28,$F39,E3:E28)</f>
        <v>0</v>
      </c>
      <c r="I39" s="241" cm="1">
        <f t="array" ref="I39">G39-H39</f>
        <v>81.78</v>
      </c>
    </row>
    <row r="40" ht="20.2" customHeight="1">
      <c r="F40" t="s" s="249">
        <v>22</v>
      </c>
      <c r="G40" s="250" cm="1">
        <f t="array" ref="G40">'Budgeting'!I11</f>
        <v>87</v>
      </c>
      <c r="H40" s="243" cm="1">
        <f t="array" ref="H40">SUMIF(D3:D28,$F40,E3:E28)</f>
        <v>0</v>
      </c>
      <c r="I40" s="243" cm="1">
        <f t="array" ref="I40">G40-H40</f>
        <v>87</v>
      </c>
    </row>
    <row r="41" ht="20.45" customHeight="1">
      <c r="F41" t="s" s="251">
        <v>23</v>
      </c>
      <c r="G41" s="252" cm="1">
        <f t="array" ref="G41">'Budgeting'!I12</f>
        <v>0</v>
      </c>
      <c r="H41" s="257" cm="1">
        <f t="array" ref="H41">SUMIF(D3:D28,$F41,E3:E28)</f>
        <v>0</v>
      </c>
      <c r="I41" s="257" cm="1">
        <f t="array" ref="I41">G41-H41</f>
        <v>0</v>
      </c>
    </row>
    <row r="42" ht="20.45" customHeight="1">
      <c r="F42" t="s" s="254">
        <v>24</v>
      </c>
      <c r="G42" s="255" cm="1">
        <f t="array" ref="G42">SUM(G32:G41)</f>
        <v>1873.48</v>
      </c>
      <c r="H42" s="255" cm="1">
        <f t="array" ref="H42">SUM(H32:H41)</f>
        <v>0</v>
      </c>
      <c r="I42" s="255" cm="1">
        <f t="array" ref="I42">G42-H42</f>
        <v>1873.48</v>
      </c>
    </row>
    <row r="44" ht="27.65" customHeight="1">
      <c r="J44" t="s" s="2">
        <v>110</v>
      </c>
      <c r="K44" s="2"/>
      <c r="L44" s="2"/>
      <c r="M44" s="2"/>
    </row>
    <row r="45" ht="23.65" customHeight="1">
      <c r="J45" t="s" s="225">
        <v>81</v>
      </c>
      <c r="K45" t="s" s="226">
        <v>108</v>
      </c>
      <c r="L45" t="s" s="226">
        <v>2</v>
      </c>
      <c r="M45" t="s" s="245">
        <v>109</v>
      </c>
    </row>
    <row r="46" ht="20.45" customHeight="1">
      <c r="J46" t="s" s="246">
        <v>105</v>
      </c>
      <c r="K46" s="247">
        <v>0</v>
      </c>
      <c r="L46" s="248" cm="1">
        <f t="array" ref="L46">SUMIF(D3:D28,$J46,E3:E28)</f>
        <v>0</v>
      </c>
      <c r="M46" s="248" cm="1">
        <f t="array" ref="M46">L46-K46</f>
        <v>0</v>
      </c>
    </row>
    <row r="47" ht="20.45" customHeight="1">
      <c r="J47" t="s" s="251">
        <v>102</v>
      </c>
      <c r="K47" s="252">
        <v>0</v>
      </c>
      <c r="L47" s="257" cm="1">
        <f t="array" ref="L47">SUMIF(D3:D28,$J47,E3:E28)</f>
        <v>0</v>
      </c>
      <c r="M47" s="257" cm="1">
        <f t="array" ref="M47">L47+K47</f>
        <v>0</v>
      </c>
    </row>
    <row r="48" ht="20.45" customHeight="1">
      <c r="J48" t="s" s="254">
        <v>24</v>
      </c>
      <c r="K48" s="255" cm="1">
        <f t="array" ref="K48">SUM(K46:K47)</f>
        <v>0</v>
      </c>
      <c r="L48" s="255" cm="1">
        <f t="array" ref="L48">SUM(L46:L47)</f>
        <v>0</v>
      </c>
      <c r="M48" s="255" cm="1">
        <f t="array" ref="M48">L48-K$48</f>
        <v>0</v>
      </c>
    </row>
  </sheetData>
  <mergeCells count="2">
    <mergeCell ref="F30:I30"/>
    <mergeCell ref="J44:M44"/>
  </mergeCells>
  <dataValidations count="1">
    <dataValidation type="list" allowBlank="1" showInputMessage="1" showErrorMessage="1" sqref="D16:D28">
      <formula1>"Restaurant,Entertainment,Travel &amp; auto,Utilities &amp; subscriptions,Sport &amp; activities,Food,Home,Medical,Personal Items,Other, ,Salary,Other/donations"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B2:M48"/>
  <sheetViews>
    <sheetView workbookViewId="0" showGridLines="0" defaultGridColor="1"/>
  </sheetViews>
  <sheetFormatPr defaultColWidth="10.8333" defaultRowHeight="19.9" customHeight="1" outlineLevelRow="0" outlineLevelCol="0"/>
  <cols>
    <col min="1" max="1" width="92.5312" style="332" customWidth="1"/>
    <col min="2" max="2" width="10.8359" style="332" customWidth="1"/>
    <col min="3" max="3" width="31.2266" style="332" customWidth="1"/>
    <col min="4" max="5" width="20.9219" style="332" customWidth="1"/>
    <col min="6" max="6" width="20.5859" style="333" customWidth="1"/>
    <col min="7" max="9" width="21.1094" style="333" customWidth="1"/>
    <col min="10" max="10" width="20.5859" style="334" customWidth="1"/>
    <col min="11" max="13" width="21.1094" style="334" customWidth="1"/>
    <col min="14" max="16384" width="10.8516" style="334" customWidth="1"/>
  </cols>
  <sheetData>
    <row r="1" ht="86" customHeight="1"/>
    <row r="2" ht="20.45" customHeight="1">
      <c r="B2" t="s" s="225">
        <v>79</v>
      </c>
      <c r="C2" t="s" s="226">
        <v>80</v>
      </c>
      <c r="D2" t="s" s="226">
        <v>81</v>
      </c>
      <c r="E2" t="s" s="227">
        <v>82</v>
      </c>
    </row>
    <row r="3" ht="20.45" customHeight="1">
      <c r="B3" s="326"/>
      <c r="C3" s="327"/>
      <c r="D3" s="230"/>
      <c r="E3" s="326"/>
    </row>
    <row r="4" ht="20.2" customHeight="1">
      <c r="B4" s="328"/>
      <c r="C4" s="311"/>
      <c r="D4" s="234"/>
      <c r="E4" s="328"/>
    </row>
    <row r="5" ht="20.2" customHeight="1">
      <c r="B5" s="329"/>
      <c r="C5" s="310"/>
      <c r="D5" s="238"/>
      <c r="E5" s="329"/>
    </row>
    <row r="6" ht="20.2" customHeight="1">
      <c r="B6" s="328"/>
      <c r="C6" s="311"/>
      <c r="D6" s="234"/>
      <c r="E6" s="328"/>
    </row>
    <row r="7" ht="20.2" customHeight="1">
      <c r="B7" s="329"/>
      <c r="C7" s="310"/>
      <c r="D7" s="238"/>
      <c r="E7" s="329"/>
    </row>
    <row r="8" ht="20.2" customHeight="1">
      <c r="B8" s="328"/>
      <c r="C8" s="311"/>
      <c r="D8" s="234"/>
      <c r="E8" s="328"/>
    </row>
    <row r="9" ht="20.2" customHeight="1">
      <c r="B9" s="329"/>
      <c r="C9" s="310"/>
      <c r="D9" s="238"/>
      <c r="E9" s="329"/>
    </row>
    <row r="10" ht="20.2" customHeight="1">
      <c r="B10" s="328"/>
      <c r="C10" s="311"/>
      <c r="D10" s="234"/>
      <c r="E10" s="328"/>
    </row>
    <row r="11" ht="20.2" customHeight="1">
      <c r="B11" s="329"/>
      <c r="C11" s="310"/>
      <c r="D11" s="238"/>
      <c r="E11" s="329"/>
    </row>
    <row r="12" ht="20.2" customHeight="1">
      <c r="B12" s="328"/>
      <c r="C12" s="311"/>
      <c r="D12" s="234"/>
      <c r="E12" s="328"/>
    </row>
    <row r="13" ht="20.2" customHeight="1">
      <c r="B13" s="329"/>
      <c r="C13" s="310"/>
      <c r="D13" s="238"/>
      <c r="E13" s="329"/>
    </row>
    <row r="14" ht="20.2" customHeight="1">
      <c r="B14" s="328"/>
      <c r="C14" s="311"/>
      <c r="D14" s="234"/>
      <c r="E14" s="328"/>
    </row>
    <row r="15" ht="20.2" customHeight="1">
      <c r="B15" s="329"/>
      <c r="C15" s="310"/>
      <c r="D15" s="238"/>
      <c r="E15" s="329"/>
    </row>
    <row r="16" ht="20.2" customHeight="1">
      <c r="B16" s="240"/>
      <c r="C16" s="234"/>
      <c r="D16" t="s" s="234">
        <v>106</v>
      </c>
      <c r="E16" s="241"/>
    </row>
    <row r="17" ht="20.2" customHeight="1">
      <c r="B17" s="242"/>
      <c r="C17" s="238"/>
      <c r="D17" t="s" s="238">
        <v>106</v>
      </c>
      <c r="E17" s="243"/>
    </row>
    <row r="18" ht="20.2" customHeight="1">
      <c r="B18" s="240"/>
      <c r="C18" s="234"/>
      <c r="D18" t="s" s="234">
        <v>106</v>
      </c>
      <c r="E18" s="241"/>
    </row>
    <row r="19" ht="20.2" customHeight="1">
      <c r="B19" s="242"/>
      <c r="C19" s="238"/>
      <c r="D19" t="s" s="238">
        <v>106</v>
      </c>
      <c r="E19" s="243"/>
    </row>
    <row r="20" ht="20.2" customHeight="1">
      <c r="B20" s="240"/>
      <c r="C20" s="234"/>
      <c r="D20" t="s" s="234">
        <v>106</v>
      </c>
      <c r="E20" s="241"/>
    </row>
    <row r="21" ht="20.2" customHeight="1">
      <c r="B21" s="242"/>
      <c r="C21" s="238"/>
      <c r="D21" t="s" s="238">
        <v>106</v>
      </c>
      <c r="E21" s="243"/>
    </row>
    <row r="22" ht="20.2" customHeight="1">
      <c r="B22" s="240"/>
      <c r="C22" s="234"/>
      <c r="D22" t="s" s="234">
        <v>106</v>
      </c>
      <c r="E22" s="241"/>
    </row>
    <row r="23" ht="20.2" customHeight="1">
      <c r="B23" s="242"/>
      <c r="C23" s="238"/>
      <c r="D23" t="s" s="238">
        <v>106</v>
      </c>
      <c r="E23" s="243"/>
    </row>
    <row r="24" ht="20.2" customHeight="1">
      <c r="B24" s="240"/>
      <c r="C24" s="234"/>
      <c r="D24" t="s" s="234">
        <v>106</v>
      </c>
      <c r="E24" s="241"/>
    </row>
    <row r="25" ht="20.2" customHeight="1">
      <c r="B25" s="242"/>
      <c r="C25" s="238"/>
      <c r="D25" t="s" s="238">
        <v>106</v>
      </c>
      <c r="E25" s="243"/>
    </row>
    <row r="26" ht="20.2" customHeight="1">
      <c r="B26" s="240"/>
      <c r="C26" s="234"/>
      <c r="D26" t="s" s="234">
        <v>106</v>
      </c>
      <c r="E26" s="241"/>
    </row>
    <row r="27" ht="20.2" customHeight="1">
      <c r="B27" s="242"/>
      <c r="C27" s="238"/>
      <c r="D27" t="s" s="238">
        <v>106</v>
      </c>
      <c r="E27" s="243"/>
    </row>
    <row r="28" ht="20.2" customHeight="1">
      <c r="B28" s="240"/>
      <c r="C28" s="234"/>
      <c r="D28" t="s" s="234">
        <v>106</v>
      </c>
      <c r="E28" s="241"/>
    </row>
    <row r="30" ht="27.65" customHeight="1">
      <c r="F30" t="s" s="2">
        <v>107</v>
      </c>
      <c r="G30" s="2"/>
      <c r="H30" s="2"/>
      <c r="I30" s="2"/>
    </row>
    <row r="31" ht="23.65" customHeight="1">
      <c r="F31" t="s" s="225">
        <v>81</v>
      </c>
      <c r="G31" t="s" s="226">
        <v>108</v>
      </c>
      <c r="H31" t="s" s="226">
        <v>2</v>
      </c>
      <c r="I31" t="s" s="245">
        <v>109</v>
      </c>
    </row>
    <row r="32" ht="20.45" customHeight="1">
      <c r="F32" t="s" s="246">
        <v>14</v>
      </c>
      <c r="G32" s="247">
        <v>0</v>
      </c>
      <c r="H32" s="248" cm="1">
        <f t="array" ref="H32">SUMIF(D3:D28,$F32,E3:E28)</f>
        <v>0</v>
      </c>
      <c r="I32" s="248" cm="1">
        <f t="array" ref="I32">G32-H32</f>
        <v>0</v>
      </c>
    </row>
    <row r="33" ht="20.2" customHeight="1">
      <c r="F33" t="s" s="249">
        <v>15</v>
      </c>
      <c r="G33" s="250">
        <v>0</v>
      </c>
      <c r="H33" s="241" cm="1">
        <f t="array" ref="H33">SUMIF(D3:D28,$F33,E3:E28)</f>
        <v>0</v>
      </c>
      <c r="I33" s="241" cm="1">
        <f t="array" ref="I33">G33-H33</f>
        <v>0</v>
      </c>
    </row>
    <row r="34" ht="20.2" customHeight="1">
      <c r="F34" t="s" s="249">
        <v>16</v>
      </c>
      <c r="G34" s="250">
        <v>0</v>
      </c>
      <c r="H34" s="243" cm="1">
        <f t="array" ref="H34">SUMIF(D3:D28,$F34,E3:E28)</f>
        <v>0</v>
      </c>
      <c r="I34" s="243" cm="1">
        <f t="array" ref="I34">G34-H34</f>
        <v>0</v>
      </c>
    </row>
    <row r="35" ht="20.2" customHeight="1">
      <c r="F35" t="s" s="249">
        <v>17</v>
      </c>
      <c r="G35" s="250">
        <v>0</v>
      </c>
      <c r="H35" s="241" cm="1">
        <f t="array" ref="H35">SUMIF(D3:D28,$F35,E3:E28)</f>
        <v>0</v>
      </c>
      <c r="I35" s="241" cm="1">
        <f t="array" ref="I35">G35-H35</f>
        <v>0</v>
      </c>
    </row>
    <row r="36" ht="20.2" customHeight="1">
      <c r="F36" t="s" s="249">
        <v>18</v>
      </c>
      <c r="G36" s="250">
        <v>0</v>
      </c>
      <c r="H36" s="243" cm="1">
        <f t="array" ref="H36">SUMIF(D3:D28,$F36,E3:E28)</f>
        <v>0</v>
      </c>
      <c r="I36" s="243" cm="1">
        <f t="array" ref="I36">G36-H36</f>
        <v>0</v>
      </c>
    </row>
    <row r="37" ht="20.2" customHeight="1">
      <c r="F37" t="s" s="249">
        <v>19</v>
      </c>
      <c r="G37" s="250">
        <v>0</v>
      </c>
      <c r="H37" s="241" cm="1">
        <f t="array" ref="H37">SUMIF(D3:D28,$F37,E3:E28)</f>
        <v>0</v>
      </c>
      <c r="I37" s="241" cm="1">
        <f t="array" ref="I37">G37-H37</f>
        <v>0</v>
      </c>
    </row>
    <row r="38" ht="20.2" customHeight="1">
      <c r="F38" t="s" s="249">
        <v>20</v>
      </c>
      <c r="G38" s="250">
        <v>0</v>
      </c>
      <c r="H38" s="243" cm="1">
        <f t="array" ref="H38">SUMIF(D3:D28,$F38,E3:E28)</f>
        <v>0</v>
      </c>
      <c r="I38" s="243" cm="1">
        <f t="array" ref="I38">G38-H38</f>
        <v>0</v>
      </c>
    </row>
    <row r="39" ht="20.2" customHeight="1">
      <c r="F39" t="s" s="249">
        <v>86</v>
      </c>
      <c r="G39" s="250">
        <v>0</v>
      </c>
      <c r="H39" s="241" cm="1">
        <f t="array" ref="H39">SUMIF(D3:D28,$F39,E3:E28)</f>
        <v>0</v>
      </c>
      <c r="I39" s="241" cm="1">
        <f t="array" ref="I39">G39-H39</f>
        <v>0</v>
      </c>
    </row>
    <row r="40" ht="20.2" customHeight="1">
      <c r="F40" t="s" s="249">
        <v>22</v>
      </c>
      <c r="G40" s="250">
        <v>0</v>
      </c>
      <c r="H40" s="243" cm="1">
        <f t="array" ref="H40">SUMIF(D3:D28,$F40,E3:E28)</f>
        <v>0</v>
      </c>
      <c r="I40" s="243" cm="1">
        <f t="array" ref="I40">G40-H40</f>
        <v>0</v>
      </c>
    </row>
    <row r="41" ht="20.45" customHeight="1">
      <c r="F41" t="s" s="251">
        <v>23</v>
      </c>
      <c r="G41" s="252"/>
      <c r="H41" s="257" cm="1">
        <f t="array" ref="H41">SUMIF(D3:D28,$F41,E3:E28)</f>
        <v>0</v>
      </c>
      <c r="I41" s="257" cm="1">
        <f t="array" ref="I41">G41-H41</f>
        <v>0</v>
      </c>
    </row>
    <row r="42" ht="20.45" customHeight="1">
      <c r="F42" t="s" s="254">
        <v>24</v>
      </c>
      <c r="G42" s="255" cm="1">
        <f t="array" ref="G42">SUM(G32:G41)</f>
        <v>0</v>
      </c>
      <c r="H42" s="255" cm="1">
        <f t="array" ref="H42">SUM(H32:H41)</f>
        <v>0</v>
      </c>
      <c r="I42" s="255" cm="1">
        <f t="array" ref="I42">G42-H42</f>
        <v>0</v>
      </c>
    </row>
    <row r="44" ht="27.65" customHeight="1">
      <c r="J44" t="s" s="2">
        <v>110</v>
      </c>
      <c r="K44" s="2"/>
      <c r="L44" s="2"/>
      <c r="M44" s="2"/>
    </row>
    <row r="45" ht="23.65" customHeight="1">
      <c r="J45" t="s" s="225">
        <v>81</v>
      </c>
      <c r="K45" t="s" s="226">
        <v>108</v>
      </c>
      <c r="L45" t="s" s="226">
        <v>2</v>
      </c>
      <c r="M45" t="s" s="245">
        <v>109</v>
      </c>
    </row>
    <row r="46" ht="20.45" customHeight="1">
      <c r="J46" t="s" s="246">
        <v>105</v>
      </c>
      <c r="K46" s="247">
        <v>0</v>
      </c>
      <c r="L46" s="248" cm="1">
        <f t="array" ref="L46">SUMIF(D3:D28,$J46,E3:E28)</f>
        <v>0</v>
      </c>
      <c r="M46" s="248" cm="1">
        <f t="array" ref="M46">L46-K46</f>
        <v>0</v>
      </c>
    </row>
    <row r="47" ht="20.45" customHeight="1">
      <c r="J47" t="s" s="251">
        <v>102</v>
      </c>
      <c r="K47" s="252">
        <v>0</v>
      </c>
      <c r="L47" s="257" cm="1">
        <f t="array" ref="L47">SUMIF(D3:D28,$J47,E3:E28)</f>
        <v>0</v>
      </c>
      <c r="M47" s="257" cm="1">
        <f t="array" ref="M47">L47+K47</f>
        <v>0</v>
      </c>
    </row>
    <row r="48" ht="20.45" customHeight="1">
      <c r="J48" t="s" s="254">
        <v>24</v>
      </c>
      <c r="K48" s="255" cm="1">
        <f t="array" ref="K48">SUM(K46:K47)</f>
        <v>0</v>
      </c>
      <c r="L48" s="255" cm="1">
        <f t="array" ref="L48">SUM(L46:L47)</f>
        <v>0</v>
      </c>
      <c r="M48" s="255" cm="1">
        <f t="array" ref="M48">L48-K$48</f>
        <v>0</v>
      </c>
    </row>
  </sheetData>
  <mergeCells count="2">
    <mergeCell ref="F30:I30"/>
    <mergeCell ref="J44:M44"/>
  </mergeCells>
  <dataValidations count="1">
    <dataValidation type="list" allowBlank="1" showInputMessage="1" showErrorMessage="1" sqref="D16:D28">
      <formula1>"Restaurant,Entertainment,Travel &amp; auto,Utilities &amp; subscriptions,Sport &amp; activities,Food,Home,Medical,Personal Items,Other, ,Salary,Other/donations"</formula1>
    </dataValidation>
  </dataValidation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